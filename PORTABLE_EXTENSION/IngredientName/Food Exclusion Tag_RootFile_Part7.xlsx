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7" sheetId="1" r:id="rId4"/>
  </sheets>
  <definedNames/>
  <calcPr/>
</workbook>
</file>

<file path=xl/sharedStrings.xml><?xml version="1.0" encoding="utf-8"?>
<sst xmlns="http://schemas.openxmlformats.org/spreadsheetml/2006/main" count="2427" uniqueCount="1098">
  <si>
    <t>_id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</si>
  <si>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</si>
  <si>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</si>
  <si>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</si>
  <si>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</si>
  <si>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</si>
  <si>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</si>
  <si>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</si>
  <si>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</si>
  <si>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</si>
  <si>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</si>
  <si>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</si>
  <si>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682c4e2cf2fdbf2cd0ac60ad</t>
  </si>
  <si>
    <t>OK</t>
  </si>
  <si>
    <t>Macadamia Oil</t>
  </si>
  <si>
    <t>Other</t>
  </si>
  <si>
    <t>66191315b8049ccf941654f0</t>
  </si>
  <si>
    <t>Macaroni (Protein Fortified, Enriched)</t>
  </si>
  <si>
    <t>Dairy</t>
  </si>
  <si>
    <t>Wheat</t>
  </si>
  <si>
    <t>Sweeteners</t>
  </si>
  <si>
    <t>6597ed75ff026c56da976193</t>
  </si>
  <si>
    <t>Macaroni N Cheese</t>
  </si>
  <si>
    <t>664723a3d7f2b6e4e782d5d1</t>
  </si>
  <si>
    <t>Macaroni Pasta</t>
  </si>
  <si>
    <t>661912ffb8049ccf941652b5</t>
  </si>
  <si>
    <t>Mace (Ground)</t>
  </si>
  <si>
    <t>Dried Herbs &amp; Spices</t>
  </si>
  <si>
    <t>6597ed74ff026c56da976164</t>
  </si>
  <si>
    <t>Mackerel Fillet</t>
  </si>
  <si>
    <t>Fish</t>
  </si>
  <si>
    <t>6597ed75ff026c56da97617f</t>
  </si>
  <si>
    <t>Mackerels</t>
  </si>
  <si>
    <t>67a2e5d1ba7dab10cef75d78</t>
  </si>
  <si>
    <t>Macro Free Range Chicken Schnitzel</t>
  </si>
  <si>
    <t>Chicken, Eggs</t>
  </si>
  <si>
    <t>677d30843a4714a02f90006e</t>
  </si>
  <si>
    <t>Macro Grass Fed Premium Beef Mince</t>
  </si>
  <si>
    <t>Beef</t>
  </si>
  <si>
    <t>686f884cf4c3091b2e8c5ee2</t>
  </si>
  <si>
    <t>Macro Lightly Sea Salted Air Popped Corn</t>
  </si>
  <si>
    <t>Corn</t>
  </si>
  <si>
    <t>677d30843a4714a02f90006f</t>
  </si>
  <si>
    <t>Macro Mike Deluxe Chocolate Premium Almond Protein</t>
  </si>
  <si>
    <t>Tree Nuts</t>
  </si>
  <si>
    <t>686f884cf4c3091b2e8c5ee3</t>
  </si>
  <si>
    <t>Macro Mike Sweet Original Powdered Peanut Butter</t>
  </si>
  <si>
    <t>Peanuts</t>
  </si>
  <si>
    <t>682c4e2cf2fdbf2cd0ac60ae</t>
  </si>
  <si>
    <t>Macro Mike Vanilla Buttercream Premium Almond Protein</t>
  </si>
  <si>
    <t>686f884cf4c3091b2e8c5ee4</t>
  </si>
  <si>
    <t>Macro Organic Natural Pumpkin Kernels</t>
  </si>
  <si>
    <t>686f884cf4c3091b2e8c5ee5</t>
  </si>
  <si>
    <t>Macro Organic Passata</t>
  </si>
  <si>
    <t>Nightshades</t>
  </si>
  <si>
    <t>686f884cf4c3091b2e8c5ee6</t>
  </si>
  <si>
    <t>Macro Organic Pasta Sauce Chunky Bolognese</t>
  </si>
  <si>
    <t>Nightshades, Alliums</t>
  </si>
  <si>
    <t>677d30843a4714a02f900070</t>
  </si>
  <si>
    <t>Macro Organic Rolled Oats</t>
  </si>
  <si>
    <t>Gluten-Free Grains</t>
  </si>
  <si>
    <t>677d30843a4714a02f900071</t>
  </si>
  <si>
    <t>Macro Organic Salted Butter</t>
  </si>
  <si>
    <t>686f884cf4c3091b2e8c5ee7</t>
  </si>
  <si>
    <t>Macro Perfectly Firm Tofu</t>
  </si>
  <si>
    <t>Soy</t>
  </si>
  <si>
    <t>675fe1e2589348ac18b05d8a</t>
  </si>
  <si>
    <t>MadeGood Mixed Berry Granola Minis</t>
  </si>
  <si>
    <t>664723a3d7f2b6e4e782d5d0</t>
  </si>
  <si>
    <t>Madras Curry Paste</t>
  </si>
  <si>
    <t>Alliums</t>
  </si>
  <si>
    <t>Dried Herbs &amp; Spices, Spicy</t>
  </si>
  <si>
    <t>686f884cf4c3091b2e8c5ee8</t>
  </si>
  <si>
    <t>Maggi 2 Minute Beef Noodles</t>
  </si>
  <si>
    <t>Spicy</t>
  </si>
  <si>
    <t>682c4e2cf2fdbf2cd0ac60b1</t>
  </si>
  <si>
    <t>Maggi 2 Minute Wholegrain Chicken Noodles</t>
  </si>
  <si>
    <t>Wheat, Gluten-Free Grains</t>
  </si>
  <si>
    <t>67a4343748ad24c4a120a66c</t>
  </si>
  <si>
    <t>Maggi Cottage Pie Powder</t>
  </si>
  <si>
    <t>682c4e2cf2fdbf2cd0ac60b2</t>
  </si>
  <si>
    <t>Maggi Satay Chicken Recipe Base</t>
  </si>
  <si>
    <t>67a4343748ad24c4a120a636</t>
  </si>
  <si>
    <t>Maggi Smoky BBQ Marinade</t>
  </si>
  <si>
    <t>686f884cf4c3091b2e8c5ee9</t>
  </si>
  <si>
    <t>Maggi Spaghetti Bolognese Recipe Base</t>
  </si>
  <si>
    <t>Potatoes, Corn</t>
  </si>
  <si>
    <t>67a2e5d1ba7dab10cef75d79</t>
  </si>
  <si>
    <t>Maggi Stroganoff Mix</t>
  </si>
  <si>
    <t>Corn, Potatoes</t>
  </si>
  <si>
    <t>684806e2a8c459878382c5d9</t>
  </si>
  <si>
    <t>Maggie Beer Natural Chicken Stock</t>
  </si>
  <si>
    <t>Chicken</t>
  </si>
  <si>
    <t>682c4e2cf2fdbf2cd0ac60b3</t>
  </si>
  <si>
    <t>REVIEW</t>
  </si>
  <si>
    <t>Magnum Almond Ice Cream</t>
  </si>
  <si>
    <t>67a2e5d1ba7dab10cef75d50</t>
  </si>
  <si>
    <t>Magnum Classic Ice Cream</t>
  </si>
  <si>
    <t>67c1820973f218d0633dc5b9</t>
  </si>
  <si>
    <t>Magnum Dairy Free Almond Ice Cream</t>
  </si>
  <si>
    <t>Lactose-Free</t>
  </si>
  <si>
    <t>Tree Nuts, Soy</t>
  </si>
  <si>
    <t>682c4e2cf2fdbf2cd0ac60ab</t>
  </si>
  <si>
    <t>Mahatma Jasmine White Rice</t>
  </si>
  <si>
    <t>67320ad689b3bf49ae88d665</t>
  </si>
  <si>
    <t>Mahi-Mahi</t>
  </si>
  <si>
    <t>684806e2a8c459878382c5c3</t>
  </si>
  <si>
    <t>Mainland ButterSoft Salted Butter</t>
  </si>
  <si>
    <t>686f884cf4c3091b2e8c5eea</t>
  </si>
  <si>
    <t>Mainland Cracker Cuts Tasty Cheese Snacks</t>
  </si>
  <si>
    <t>682c4e2cf2fdbf2cd0ac60b4</t>
  </si>
  <si>
    <t>Malibu Coconut Rum</t>
  </si>
  <si>
    <t>Alcohol</t>
  </si>
  <si>
    <t>6619133ab8049ccf941658e9</t>
  </si>
  <si>
    <t>Malt Beverage</t>
  </si>
  <si>
    <t>Sweeteners, Alcohol</t>
  </si>
  <si>
    <t>6619132cb8049ccf9416574c</t>
  </si>
  <si>
    <t>Malt Syrup</t>
  </si>
  <si>
    <t>6597ed6eff026c56da97605d</t>
  </si>
  <si>
    <t>Malt Vinegar</t>
  </si>
  <si>
    <t>6619133ab8049ccf941658e8</t>
  </si>
  <si>
    <t>Malted Drink Powder Mix</t>
  </si>
  <si>
    <t>66191330b8049ccf941657c8</t>
  </si>
  <si>
    <t>Malted Flour Bran Cereal</t>
  </si>
  <si>
    <t>6619130db8049ccf9416542b</t>
  </si>
  <si>
    <t>Mamey Apple</t>
  </si>
  <si>
    <t>67320ad689b3bf49ae88d666</t>
  </si>
  <si>
    <t>Mandarin</t>
  </si>
  <si>
    <t>Citrus</t>
  </si>
  <si>
    <t>6597ed74ff026c56da976142</t>
  </si>
  <si>
    <t>Mangetout</t>
  </si>
  <si>
    <t>6619130db8049ccf9416542a</t>
  </si>
  <si>
    <t>Mango</t>
  </si>
  <si>
    <t>Tropical Fruits</t>
  </si>
  <si>
    <t>67a2e5d1ba7dab10cef75d7a</t>
  </si>
  <si>
    <t>Mango Chutney</t>
  </si>
  <si>
    <t>6619130db8049ccf94165429</t>
  </si>
  <si>
    <t>Mangosteen (Canned)</t>
  </si>
  <si>
    <t>67528fcc30baf48560ea8c8e</t>
  </si>
  <si>
    <t>Manicotti Shells</t>
  </si>
  <si>
    <t>Fresh Herbs, Dried Herbs &amp; Spices</t>
  </si>
  <si>
    <t>6619133cb8049ccf94165920</t>
  </si>
  <si>
    <t>Maple Sugar</t>
  </si>
  <si>
    <t>661912fdb8049ccf94165292</t>
  </si>
  <si>
    <t>Maple Syrup</t>
  </si>
  <si>
    <t>6619130db8049ccf94165428</t>
  </si>
  <si>
    <t>Maraschino Cherries (Drained, Canned)</t>
  </si>
  <si>
    <t>Stone Fruits</t>
  </si>
  <si>
    <t>6619132bb8049ccf94165747</t>
  </si>
  <si>
    <t>Margarine</t>
  </si>
  <si>
    <t>66191335b8049ccf94165819</t>
  </si>
  <si>
    <t>Margarine (Vegetable Oil Spread, 60% Fat, Stick)</t>
  </si>
  <si>
    <t>6619131bb8049ccf941655aa</t>
  </si>
  <si>
    <t>Margarine-Butter Blend (60% Corn Oil &amp; 40% Butter)</t>
  </si>
  <si>
    <t>6619132bb8049ccf94165746</t>
  </si>
  <si>
    <t>Margarine-Like Spread</t>
  </si>
  <si>
    <t>664f17628cabedf3f137f7b2</t>
  </si>
  <si>
    <t>Marinara Sauce</t>
  </si>
  <si>
    <t>Alliums, Nightshades</t>
  </si>
  <si>
    <t>Dried Herbs &amp; Spices, Fresh Herbs</t>
  </si>
  <si>
    <t>677d30843a4714a02f900072</t>
  </si>
  <si>
    <t>Marinated Red Bell Peppers</t>
  </si>
  <si>
    <t>682c4e2cf2fdbf2cd0ac60b5</t>
  </si>
  <si>
    <t>Marion's Kitchen Classic Japanese Teriyaki</t>
  </si>
  <si>
    <t>6597ed75ff026c56da97618d</t>
  </si>
  <si>
    <t>Marjoram</t>
  </si>
  <si>
    <t>661912ffb8049ccf941652b4</t>
  </si>
  <si>
    <t>Marjoram (Dried)</t>
  </si>
  <si>
    <t>664723a3d7f2b6e4e782d5cf</t>
  </si>
  <si>
    <t>Marmalade</t>
  </si>
  <si>
    <t>6619130ab8049ccf941653d7</t>
  </si>
  <si>
    <t>Marmalade Plum</t>
  </si>
  <si>
    <t>6619132cb8049ccf94165769</t>
  </si>
  <si>
    <t>Marmite Spread</t>
  </si>
  <si>
    <t>682c4e2cf2fdbf2cd0ac60b6</t>
  </si>
  <si>
    <t>Mars Ice Cream Bar</t>
  </si>
  <si>
    <t>6619133cb8049ccf9416591f</t>
  </si>
  <si>
    <t>Masa Corn Flour (Enriched)</t>
  </si>
  <si>
    <t>6597ed79ff026c56da97621f</t>
  </si>
  <si>
    <t>Masa Flour</t>
  </si>
  <si>
    <t>Corn, Corn</t>
  </si>
  <si>
    <t>677d30843a4714a02f900073</t>
  </si>
  <si>
    <t>Masala Chai Spice</t>
  </si>
  <si>
    <t>6597ed6aff026c56da975fbd</t>
  </si>
  <si>
    <t>Mascarpone Cheese</t>
  </si>
  <si>
    <t>6841689d8d3bab18dd7314b9</t>
  </si>
  <si>
    <t>Mashed Banana</t>
  </si>
  <si>
    <t>6619130db8049ccf94165427</t>
  </si>
  <si>
    <t>Mashed Potatoes</t>
  </si>
  <si>
    <t>Potatoes</t>
  </si>
  <si>
    <t>677d30843a4714a02f900074</t>
  </si>
  <si>
    <t>Mass Gainer Powder</t>
  </si>
  <si>
    <t>686f884cf4c3091b2e8c5eeb</t>
  </si>
  <si>
    <t>MasterFoods Barbecue Sauce Reduced Salt &amp; Sugar</t>
  </si>
  <si>
    <t>686f884cf4c3091b2e8c5eec</t>
  </si>
  <si>
    <t>MasterFoods Cajun Seasoning</t>
  </si>
  <si>
    <t>684806e2a8c459878382c5cb</t>
  </si>
  <si>
    <t>MasterFoods Carbonara Recipe Base</t>
  </si>
  <si>
    <t>686f884cf4c3091b2e8c5eed</t>
  </si>
  <si>
    <t>MasterFoods Chinese Beef Stir Fry Recipe Base</t>
  </si>
  <si>
    <t>Wheat, Corn</t>
  </si>
  <si>
    <t>686f884cf4c3091b2e8c5eee</t>
  </si>
  <si>
    <t>MasterFoods Creamy Chicken &amp; Mushroom Cooking Sauce</t>
  </si>
  <si>
    <t>Corn, Wheat</t>
  </si>
  <si>
    <t>Mushrooms, Alliums</t>
  </si>
  <si>
    <t>686f884cf4c3091b2e8c5eef</t>
  </si>
  <si>
    <t>MasterFoods Creamy Thai Chicken Stir Fry Recipe Base</t>
  </si>
  <si>
    <t>Fresh Herbs, Spicy</t>
  </si>
  <si>
    <t>686f884cf4c3091b2e8c5ef0</t>
  </si>
  <si>
    <t>MasterFoods Curried Sausages Recipe Base</t>
  </si>
  <si>
    <t>686f884cf4c3091b2e8c5ef1</t>
  </si>
  <si>
    <t>MasterFoods Garlic &amp; Herb Salt Seasoning</t>
  </si>
  <si>
    <t>686f884cf4c3091b2e8c5ef2</t>
  </si>
  <si>
    <t>MasterFoods Harissa Middle Eastern Spice Blend</t>
  </si>
  <si>
    <t>Fresh Herbs, Dried Herbs &amp; Spices, Spicy</t>
  </si>
  <si>
    <t>686f884cf4c3091b2e8c5ef3</t>
  </si>
  <si>
    <t>MasterFoods Honey, Garlic &amp; Soy Stir Fry Recipe Base</t>
  </si>
  <si>
    <t>686f884cf4c3091b2e8c5ef4</t>
  </si>
  <si>
    <t>MasterFoods Pizza Topper Herb Blend</t>
  </si>
  <si>
    <t>686f884cf4c3091b2e8c5ef5</t>
  </si>
  <si>
    <t>MasterFoods Sweet Chilli Sauce</t>
  </si>
  <si>
    <t>686f884cf4c3091b2e8c5ef6</t>
  </si>
  <si>
    <t>MasterFoods Teriyaki Chicken Stir Fry Recipe Base</t>
  </si>
  <si>
    <t>Soy, Peanuts</t>
  </si>
  <si>
    <t>686f884cf4c3091b2e8c5ef7</t>
  </si>
  <si>
    <t>MasterFoods Tuscan Seasoning</t>
  </si>
  <si>
    <t>Spicy, Dried Herbs &amp; Spices, Fresh Herbs</t>
  </si>
  <si>
    <t>674698d024c0ced1e5915abc</t>
  </si>
  <si>
    <t>Masterfoods All Purpose Seasoning</t>
  </si>
  <si>
    <t>674698d024c0ced1e5915acd</t>
  </si>
  <si>
    <t>Masterfoods American Mustard</t>
  </si>
  <si>
    <t>Spicy, Dried Herbs &amp; Spices</t>
  </si>
  <si>
    <t>682c4e2cf2fdbf2cd0ac60b7</t>
  </si>
  <si>
    <t>Masterfoods Beef &amp; Red Wine Casserole Slow Cook Recipe Base</t>
  </si>
  <si>
    <t>67a2e5d1ba7dab10cef75d7b</t>
  </si>
  <si>
    <t>Masterfoods Beef Stroganoff Recipe Base</t>
  </si>
  <si>
    <t>67a4343748ad24c4a120a626</t>
  </si>
  <si>
    <t>Masterfoods Butter Chicken Cooking Sauce</t>
  </si>
  <si>
    <t>682c4e2cf2fdbf2cd0ac60b8</t>
  </si>
  <si>
    <t>Masterfoods Mango Chutney Relish</t>
  </si>
  <si>
    <t>682c4e2cf2fdbf2cd0ac60ba</t>
  </si>
  <si>
    <t>Masterfoods Savoury Mince Recipe Base</t>
  </si>
  <si>
    <t>675fe1e2589348ac18b05d51</t>
  </si>
  <si>
    <t>Masterfoods Smokey Chipotle Sauce</t>
  </si>
  <si>
    <t>Eggs</t>
  </si>
  <si>
    <t>682c4e2cf2fdbf2cd0ac60b9</t>
  </si>
  <si>
    <t>Masterfoods Tuscan Meatballs Recipe Base</t>
  </si>
  <si>
    <t>664723a3d7f2b6e4e782d5ce</t>
  </si>
  <si>
    <t>Matcha</t>
  </si>
  <si>
    <t>Caffeine</t>
  </si>
  <si>
    <t>664723a3d7f2b6e4e782d5cd</t>
  </si>
  <si>
    <t>Matcha Green Tea Powder</t>
  </si>
  <si>
    <t>67320ad689b3bf49ae88d650</t>
  </si>
  <si>
    <t>Matta Rice</t>
  </si>
  <si>
    <t>66191334b8049ccf941657f3</t>
  </si>
  <si>
    <t>Mature Red Chili Hot Peppers (Canned)</t>
  </si>
  <si>
    <t>6597ed74ff026c56da976154</t>
  </si>
  <si>
    <t>Maui Onion</t>
  </si>
  <si>
    <t>686f884cf4c3091b2e8c5ef8</t>
  </si>
  <si>
    <t>Mayflower Curry Sauce Mix</t>
  </si>
  <si>
    <t>6597ed62ff026c56da975ea4</t>
  </si>
  <si>
    <t>Mayo</t>
  </si>
  <si>
    <t>66191336b8049ccf9416584f</t>
  </si>
  <si>
    <t>Mayonnaise</t>
  </si>
  <si>
    <t>66191334b8049ccf941657e1</t>
  </si>
  <si>
    <t>Mayonnaise (Made with Tofu)</t>
  </si>
  <si>
    <t>66191335b8049ccf94165812</t>
  </si>
  <si>
    <t>Mayonnaise (No Cholesterol)</t>
  </si>
  <si>
    <t>66191335b8049ccf94165811</t>
  </si>
  <si>
    <t>Mayonnaise Salad Dressing (Diet, No Cholesterol)</t>
  </si>
  <si>
    <t>66191335b8049ccf94165810</t>
  </si>
  <si>
    <t>Mayonnaise-Like Salad Dressing (Fat-free)</t>
  </si>
  <si>
    <t>6855227fa2fdbbb8dd6ef4e7</t>
  </si>
  <si>
    <t>Mayver's Crunchy Peanut Butter</t>
  </si>
  <si>
    <t>67a2e5d1ba7dab10cef75d7c</t>
  </si>
  <si>
    <t>Mayver's Dark Roasted Crunchy Peanut Butter</t>
  </si>
  <si>
    <t>682c4e2cf2fdbf2cd0ac60bd</t>
  </si>
  <si>
    <t>Mayver's Hulled Tahini</t>
  </si>
  <si>
    <t>6855227fa2fdbbb8dd6ef4e8</t>
  </si>
  <si>
    <t>Mayver's Smooth Chocolate Protein Plus Peanut Butter</t>
  </si>
  <si>
    <t>Peanuts, Tree Nuts</t>
  </si>
  <si>
    <t>6855227fa2fdbbb8dd6ef4e6</t>
  </si>
  <si>
    <t>Mayver's Smooth Hazelnut, Cashew &amp; Cacao Butter</t>
  </si>
  <si>
    <t>682c4e2cf2fdbf2cd0ac60bc</t>
  </si>
  <si>
    <t>Mayver's Smooth Peanut Butter</t>
  </si>
  <si>
    <t>674698d024c0ced1e5915abd</t>
  </si>
  <si>
    <t>Mayver's Smunchy Protein Plus Peanut Butter</t>
  </si>
  <si>
    <t>6855227fa2fdbbb8dd6ef4e5</t>
  </si>
  <si>
    <t>Mc Donnells Slimmers Curry Sauce</t>
  </si>
  <si>
    <t>6855227fa2fdbbb8dd6ef4e4</t>
  </si>
  <si>
    <t>Mc Yee Noodles Egg Noodles</t>
  </si>
  <si>
    <t>675fe1e2589348ac18b05d2e</t>
  </si>
  <si>
    <t>McCain Hash Browns</t>
  </si>
  <si>
    <t>Potatoes, Corn, Wheat</t>
  </si>
  <si>
    <t>686f884cf4c3091b2e8c5ef9</t>
  </si>
  <si>
    <t>McCain Mixed Vegetables</t>
  </si>
  <si>
    <t>Beans</t>
  </si>
  <si>
    <t>67a2e5d1ba7dab10cef75d82</t>
  </si>
  <si>
    <t>McCain Peas, Carrots And Corn Mix</t>
  </si>
  <si>
    <t>6855227fa2fdbbb8dd6ef4e3</t>
  </si>
  <si>
    <t>McCain Straight Cut Fries</t>
  </si>
  <si>
    <t>6855227fa2fdbbb8dd6ef4e2</t>
  </si>
  <si>
    <t>McCain Superfries Crinkle Cut</t>
  </si>
  <si>
    <t>6855227fa2fdbbb8dd6ef4e1</t>
  </si>
  <si>
    <t>McCain Superfries Shoestring</t>
  </si>
  <si>
    <t>67a4343748ad24c4a120a63c</t>
  </si>
  <si>
    <t>McCain Superfries Straight Cut</t>
  </si>
  <si>
    <t>6855227fa2fdbbb8dd6ef4e0</t>
  </si>
  <si>
    <t>McCain Sweet Potato Straight Cut</t>
  </si>
  <si>
    <t>Potatoes, Gluten-Free Grains</t>
  </si>
  <si>
    <t>686f884cf4c3091b2e8c5efa</t>
  </si>
  <si>
    <t>McCormick Greek Style Seasoning</t>
  </si>
  <si>
    <t>677d30843a4714a02f900077</t>
  </si>
  <si>
    <t>McDonald's Apple Slices</t>
  </si>
  <si>
    <t>677d30843a4714a02f900078</t>
  </si>
  <si>
    <t>McDonald's Fruit &amp; Maple Oatmeal</t>
  </si>
  <si>
    <t>Berries</t>
  </si>
  <si>
    <t>677d30843a4714a02f9000be</t>
  </si>
  <si>
    <t>McVities Digestive Light Biscuits</t>
  </si>
  <si>
    <t>6597ed72ff026c56da976108</t>
  </si>
  <si>
    <t>Mct Oil</t>
  </si>
  <si>
    <t>66191305b8049ccf94165347</t>
  </si>
  <si>
    <t>Meat Extender</t>
  </si>
  <si>
    <t>66191321b8049ccf94165661</t>
  </si>
  <si>
    <t>Meat Frankfurter</t>
  </si>
  <si>
    <t>Beef, Pork, Turkey</t>
  </si>
  <si>
    <t>66191321b8049ccf94165662</t>
  </si>
  <si>
    <t>Meat and Poultry Frankfurter (Low Fat)</t>
  </si>
  <si>
    <t>Beef, Pork, Chicken, Turkey</t>
  </si>
  <si>
    <t>66191336b8049ccf94165836</t>
  </si>
  <si>
    <t>Meat or Poultry Gravy (Low Sodium)</t>
  </si>
  <si>
    <t>Dairy, Chicken</t>
  </si>
  <si>
    <t>Fresh Herbs</t>
  </si>
  <si>
    <t>661912fdb8049ccf9416528e</t>
  </si>
  <si>
    <t>Meatless Bacon</t>
  </si>
  <si>
    <t>Soy, Beans</t>
  </si>
  <si>
    <t>661912fdb8049ccf9416528d</t>
  </si>
  <si>
    <t>Meatless Bacon Bits</t>
  </si>
  <si>
    <t>661912fdb8049ccf9416528c</t>
  </si>
  <si>
    <t>Meatless Chicken</t>
  </si>
  <si>
    <t>661912fdb8049ccf9416528b</t>
  </si>
  <si>
    <t>Meatless Fish Sticks</t>
  </si>
  <si>
    <t>66191321b8049ccf94165660</t>
  </si>
  <si>
    <t>Meatless Frankfurter</t>
  </si>
  <si>
    <t>661912fdb8049ccf9416528a</t>
  </si>
  <si>
    <t>Meatless Luncheon Slices</t>
  </si>
  <si>
    <t>66191321b8049ccf9416565f</t>
  </si>
  <si>
    <t>Meatless Meatballs</t>
  </si>
  <si>
    <t>66191335b8049ccf94165818</t>
  </si>
  <si>
    <t>Meatless Sandwich Spread</t>
  </si>
  <si>
    <t>66191321b8049ccf9416565e</t>
  </si>
  <si>
    <t>Meatless Sausage</t>
  </si>
  <si>
    <t>66191336b8049ccf94165835</t>
  </si>
  <si>
    <t>Meatless Spaghetti Sauce (Canned)</t>
  </si>
  <si>
    <t>682c4e2cf2fdbf2cd0ac60be</t>
  </si>
  <si>
    <t>Mediterranean Vegetables</t>
  </si>
  <si>
    <t>Nightshades, Cruciferous, Leafy Greens, Mushrooms, Alliums</t>
  </si>
  <si>
    <t>6619133cb8049ccf9416591e</t>
  </si>
  <si>
    <t>Medium Rye Flour</t>
  </si>
  <si>
    <t>667d2dbe8890773347613098</t>
  </si>
  <si>
    <t>Medium Shell Pasta</t>
  </si>
  <si>
    <t>6597ed75ff026c56da97618c</t>
  </si>
  <si>
    <t>Medjool Date</t>
  </si>
  <si>
    <t>67528fcc30baf48560ea8cc4</t>
  </si>
  <si>
    <t>Melted Margarine</t>
  </si>
  <si>
    <t>66191317b8049ccf9416552f</t>
  </si>
  <si>
    <t>Menhaden Fish Oil</t>
  </si>
  <si>
    <t>66191317b8049ccf9416552e</t>
  </si>
  <si>
    <t>Menhaden Fish Oil (Hydrogenated)</t>
  </si>
  <si>
    <t>686f884cf4c3091b2e8c5efc</t>
  </si>
  <si>
    <t>Merchant Gourmet Red &amp; White Quinoa</t>
  </si>
  <si>
    <t>6650a3e90dcfc6606c69791d</t>
  </si>
  <si>
    <t>Meringue</t>
  </si>
  <si>
    <t>664723a3d7f2b6e4e782d5cc</t>
  </si>
  <si>
    <t>Meringue Nest</t>
  </si>
  <si>
    <t>66191337b8049ccf94165887</t>
  </si>
  <si>
    <t>Merlot Wine</t>
  </si>
  <si>
    <t>6597ed79ff026c56da976232</t>
  </si>
  <si>
    <t>Methi</t>
  </si>
  <si>
    <t>664723a3d7f2b6e4e782d5cb</t>
  </si>
  <si>
    <t>Mexican Seasoning</t>
  </si>
  <si>
    <t>664723a3d7f2b6e4e782d5ca</t>
  </si>
  <si>
    <t>Mexican Spice</t>
  </si>
  <si>
    <t>664723a3d7f2b6e4e782d5c9</t>
  </si>
  <si>
    <t>Mexican Spice Blend</t>
  </si>
  <si>
    <t>664723a3d7f2b6e4e782d5c8</t>
  </si>
  <si>
    <t>Mexican Spice Mix</t>
  </si>
  <si>
    <t>664723a3d7f2b6e4e782d5c7</t>
  </si>
  <si>
    <t>Mexican Stir-Fry Vegetables</t>
  </si>
  <si>
    <t>6597ed71ff026c56da9760bb</t>
  </si>
  <si>
    <t>Mexican Style Shredded Cheese</t>
  </si>
  <si>
    <t>664723a3d7f2b6e4e782d5c6</t>
  </si>
  <si>
    <t>Mexican Taco Seasoning</t>
  </si>
  <si>
    <t>664723a3d7f2b6e4e782d5c5</t>
  </si>
  <si>
    <t>Mexican Veg Mix</t>
  </si>
  <si>
    <t>6597ed77ff026c56da9761df</t>
  </si>
  <si>
    <t>Meyer Lemons</t>
  </si>
  <si>
    <t>6650a3e97d2b4d61e8a88710</t>
  </si>
  <si>
    <t>Microgreens</t>
  </si>
  <si>
    <t>Leafy Greens</t>
  </si>
  <si>
    <t>677d30843a4714a02f900079</t>
  </si>
  <si>
    <t>Microwavable Popcorn</t>
  </si>
  <si>
    <t>674698d024c0ced1e5915aca</t>
  </si>
  <si>
    <t>Mike's Hot Honey</t>
  </si>
  <si>
    <t>684807b9a8c459878382c631</t>
  </si>
  <si>
    <t>Milbona High Protein Drink Strawberry</t>
  </si>
  <si>
    <t>67a2e5d1ba7dab10cef75d7d</t>
  </si>
  <si>
    <t>Mild Buffalo Sauce</t>
  </si>
  <si>
    <t>6597ed7cff026c56da9762ce</t>
  </si>
  <si>
    <t>Mild Cheddar</t>
  </si>
  <si>
    <t>6650a3e9c6656bbb674bc1e1</t>
  </si>
  <si>
    <t>Mild Chilli Powder</t>
  </si>
  <si>
    <t>6650a3e944f8a177c9c2543b</t>
  </si>
  <si>
    <t>Mild Curry Powder</t>
  </si>
  <si>
    <t>6650a3e9e3661f452f9cf950</t>
  </si>
  <si>
    <t>Mild Extra-virgin Olive Oil</t>
  </si>
  <si>
    <t>6619132bb8049ccf94165744</t>
  </si>
  <si>
    <t>Milk</t>
  </si>
  <si>
    <t>66191339b8049ccf941658cb</t>
  </si>
  <si>
    <t>Milk (1% Lowfat)</t>
  </si>
  <si>
    <t>66191339b8049ccf941658c9</t>
  </si>
  <si>
    <t>Milk (2% Lowfat with Added Vitamin A)</t>
  </si>
  <si>
    <t>66191339b8049ccf941658c8</t>
  </si>
  <si>
    <t>Milk (2% Lowfat without Added Vitamin A and Nonfat Solids)</t>
  </si>
  <si>
    <t>66191339b8049ccf941658ca</t>
  </si>
  <si>
    <t>Milk (2% Lowfat)</t>
  </si>
  <si>
    <t>66191339b8049ccf941658c7</t>
  </si>
  <si>
    <t>Milk (3.7% Milkfat)</t>
  </si>
  <si>
    <t>66191339b8049ccf941658c6</t>
  </si>
  <si>
    <t>Milk (Low Sodium)</t>
  </si>
  <si>
    <t>66191339b8049ccf941658c5</t>
  </si>
  <si>
    <t>Milk (Nonfat)</t>
  </si>
  <si>
    <t>66191339b8049ccf941658c4</t>
  </si>
  <si>
    <t>Milk (Whole Milk)</t>
  </si>
  <si>
    <t>6597ed75ff026c56da976165</t>
  </si>
  <si>
    <t>Milk Chocolate</t>
  </si>
  <si>
    <t>Sweeteners, Caffeine</t>
  </si>
  <si>
    <t>6597ed7bff026c56da976294</t>
  </si>
  <si>
    <t>Milk Chocolate Morsels</t>
  </si>
  <si>
    <t>6597ed74ff026c56da976163</t>
  </si>
  <si>
    <t>Milk Kefir</t>
  </si>
  <si>
    <t>6597ed74ff026c56da976161</t>
  </si>
  <si>
    <t>Milk Powder</t>
  </si>
  <si>
    <t>686f884cf4c3091b2e8c5efe</t>
  </si>
  <si>
    <t>MilkLab Coconut Milk</t>
  </si>
  <si>
    <t>Non-Dairy Milk</t>
  </si>
  <si>
    <t>66191302b8049ccf94165302</t>
  </si>
  <si>
    <t>Milkfish</t>
  </si>
  <si>
    <t>686f884cf4c3091b2e8c5efd</t>
  </si>
  <si>
    <t>Milklab Almond Milk</t>
  </si>
  <si>
    <t>6597ed75ff026c56da97616c</t>
  </si>
  <si>
    <t>Milky Way Bar</t>
  </si>
  <si>
    <t>66191330b8049ccf941657c7</t>
  </si>
  <si>
    <t>Millet</t>
  </si>
  <si>
    <t>677d30843a4714a02f90007a</t>
  </si>
  <si>
    <t>Mince Pie</t>
  </si>
  <si>
    <t>67528fcc30baf48560ea8c84</t>
  </si>
  <si>
    <t>Minced Celery</t>
  </si>
  <si>
    <t>6650a3e96ff9d352cd2f4dab</t>
  </si>
  <si>
    <t>Minced Chicken</t>
  </si>
  <si>
    <t>67528fcc30baf48560ea8c9a</t>
  </si>
  <si>
    <t>Minced Garlic</t>
  </si>
  <si>
    <t>66191321b8049ccf9416565d</t>
  </si>
  <si>
    <t>Minced Ham</t>
  </si>
  <si>
    <t>Pork</t>
  </si>
  <si>
    <t>67528fcc30baf48560ea8c87</t>
  </si>
  <si>
    <t>Minced Onion</t>
  </si>
  <si>
    <t>67528fcc30baf48560ea8c79</t>
  </si>
  <si>
    <t>Minced Parsley</t>
  </si>
  <si>
    <t>66191321b8049ccf9416565c</t>
  </si>
  <si>
    <t>Minced Pork and Chicken Luncheon Meat (Canned)</t>
  </si>
  <si>
    <t>Pork, Chicken</t>
  </si>
  <si>
    <t>67528fcc30baf48560ea8cb9</t>
  </si>
  <si>
    <t>Minced Sweet Onion</t>
  </si>
  <si>
    <t>6650a3e9cb2d3d6df3bb5fa0</t>
  </si>
  <si>
    <t>Minced Turkey Fillet</t>
  </si>
  <si>
    <t>Turkey</t>
  </si>
  <si>
    <t>6597ed61ff026c56da975e85</t>
  </si>
  <si>
    <t>Mincemeat</t>
  </si>
  <si>
    <t>66191336b8049ccf9416584e</t>
  </si>
  <si>
    <t>Minestrone Soup (Canned, Condensed)</t>
  </si>
  <si>
    <t>686f884cf4c3091b2e8c5eff</t>
  </si>
  <si>
    <t>Mingle Butter Chicken Recipe Base</t>
  </si>
  <si>
    <t>686f884cf4c3091b2e8c5f00</t>
  </si>
  <si>
    <t>Mingle Chicken Stock Wow-der</t>
  </si>
  <si>
    <t>67a2e5d1ba7dab10cef75d7e</t>
  </si>
  <si>
    <t>Mingle Everything Bagel All Natural Seasoning</t>
  </si>
  <si>
    <t>67a2e5d1ba7dab10cef75d7f</t>
  </si>
  <si>
    <t>Mingle Garlic &amp; Herb Seasoning</t>
  </si>
  <si>
    <t>675fe1e2589348ac18b05d7b</t>
  </si>
  <si>
    <t>Mingle Greek Garlic Seasoning</t>
  </si>
  <si>
    <t>677d30843a4714a02f90007b</t>
  </si>
  <si>
    <t>Mingle Taco Seasoning</t>
  </si>
  <si>
    <t>67a2e5d1ba7dab10cef75d80</t>
  </si>
  <si>
    <t>Mini Flatbreads</t>
  </si>
  <si>
    <t>677d30843a4714a02f90007c</t>
  </si>
  <si>
    <t>Mini Garlic &amp; Coriander Naans</t>
  </si>
  <si>
    <t>6597ed74ff026c56da97613f</t>
  </si>
  <si>
    <t>Mini Pb Cups</t>
  </si>
  <si>
    <t>67528fcc30baf48560ea8cb7</t>
  </si>
  <si>
    <t>Mini Pretzels</t>
  </si>
  <si>
    <t>6650a3e9cd452c6a20bf3ca1</t>
  </si>
  <si>
    <t>Mini Wholemeal Tortilla Wraps</t>
  </si>
  <si>
    <t>6597ed7bff026c56da976292</t>
  </si>
  <si>
    <t>Miniature Chocolate Chips</t>
  </si>
  <si>
    <t>6597ed75ff026c56da97616d</t>
  </si>
  <si>
    <t>Miniature Marshmallows</t>
  </si>
  <si>
    <t>6597ed71ff026c56da9760bd</t>
  </si>
  <si>
    <t>Miniature Sausages</t>
  </si>
  <si>
    <t>6597ed7bff026c56da976289</t>
  </si>
  <si>
    <t>Miniature Semisweet Chocolate Chips</t>
  </si>
  <si>
    <t>686f884cf4c3091b2e8c5f01</t>
  </si>
  <si>
    <t>Minor Figures Barista Oat Milk</t>
  </si>
  <si>
    <t>686f884cf4c3091b2e8c5f02</t>
  </si>
  <si>
    <t>Minor Figures Barista Oat Milk Organic Lite</t>
  </si>
  <si>
    <t>664723a1d7f2b6e4e782d564</t>
  </si>
  <si>
    <t>Mint</t>
  </si>
  <si>
    <t>6597ed75ff026c56da976171</t>
  </si>
  <si>
    <t>Mint Chutney</t>
  </si>
  <si>
    <t>6597ed75ff026c56da976172</t>
  </si>
  <si>
    <t>Mint Jelly</t>
  </si>
  <si>
    <t>6597ed75ff026c56da976177</t>
  </si>
  <si>
    <t>Mint Leaves</t>
  </si>
  <si>
    <t>6597ed69ff026c56da975f90</t>
  </si>
  <si>
    <t>Mirin</t>
  </si>
  <si>
    <t>664723a3d7f2b6e4e782d5c4</t>
  </si>
  <si>
    <t>Miso Paste</t>
  </si>
  <si>
    <t>67c1820973f218d0633dc593</t>
  </si>
  <si>
    <t>Mission Carb Balance Burrito Flour Tortillas</t>
  </si>
  <si>
    <t>677d30843a4714a02f90007e</t>
  </si>
  <si>
    <t>Mission Garlic Wraps</t>
  </si>
  <si>
    <t>686f884cf4c3091b2e8c5f03</t>
  </si>
  <si>
    <t>Mission Lite Wraps</t>
  </si>
  <si>
    <t>677d30843a4714a02f90007f</t>
  </si>
  <si>
    <t>Mission Original Wraps</t>
  </si>
  <si>
    <t>686f884cf4c3091b2e8c5f04</t>
  </si>
  <si>
    <t>Mission Plain Pita Pockets</t>
  </si>
  <si>
    <t>682c4e2cf2fdbf2cd0ac60c1</t>
  </si>
  <si>
    <t>Mission Plain Pizza Base</t>
  </si>
  <si>
    <t>682c4e2cf2fdbf2cd0ac60c2</t>
  </si>
  <si>
    <t>Mission Souvlaki Bread</t>
  </si>
  <si>
    <t>682c4e2cf2fdbf2cd0ac60c3</t>
  </si>
  <si>
    <t>Mission Spinach &amp; Herb Wraps</t>
  </si>
  <si>
    <t>677d30843a4714a02f900080</t>
  </si>
  <si>
    <t>Mission White Corn Gluten-Free Tortillas</t>
  </si>
  <si>
    <t>Corn, Gluten-Free Grains</t>
  </si>
  <si>
    <t>686f884cf4c3091b2e8c5f05</t>
  </si>
  <si>
    <t>Mission Whole Wheat Mini Wraps</t>
  </si>
  <si>
    <t>682c4e2cf2fdbf2cd0ac60c4</t>
  </si>
  <si>
    <t>Mission Zero Net Carbs Tortillas Original</t>
  </si>
  <si>
    <t>664723a3d7f2b6e4e782d5c3</t>
  </si>
  <si>
    <t>Mix Salad Leave</t>
  </si>
  <si>
    <t>6650a3e9cfa528dac4b32d2f</t>
  </si>
  <si>
    <t>Mixed Asian Vegetables</t>
  </si>
  <si>
    <t>682c4e2cf2fdbf2cd0ac60c5</t>
  </si>
  <si>
    <t>Mixed Beans</t>
  </si>
  <si>
    <t>Beans, Lentils</t>
  </si>
  <si>
    <t>6650a3e97bdc30faec55f1d2</t>
  </si>
  <si>
    <t>Mixed Berries</t>
  </si>
  <si>
    <t>6597ed66ff026c56da975f3d</t>
  </si>
  <si>
    <t>Mixed Dried Fruit</t>
  </si>
  <si>
    <t>Citrus, Berries, Tropical Fruits, Stone Fruits, Melons</t>
  </si>
  <si>
    <t>6650a3e90717f857fd7f2bfe</t>
  </si>
  <si>
    <t>Mixed Dried Herbs</t>
  </si>
  <si>
    <t>6619133fb8049ccf94165951</t>
  </si>
  <si>
    <t>Mixed Grain Bread</t>
  </si>
  <si>
    <t>664723a3d7f2b6e4e782d5c2</t>
  </si>
  <si>
    <t>Mixed Herb</t>
  </si>
  <si>
    <t>667d2dbe786379ceaacdbece</t>
  </si>
  <si>
    <t>Mixed Lettuce Greens</t>
  </si>
  <si>
    <t>6597ed67ff026c56da975f56</t>
  </si>
  <si>
    <t>Mixed Peel</t>
  </si>
  <si>
    <t>664723a3d7f2b6e4e782d5c1</t>
  </si>
  <si>
    <t>Mixed Seed</t>
  </si>
  <si>
    <t>Tree Nuts, Soy, Peanuts</t>
  </si>
  <si>
    <t>664723a3d7f2b6e4e782d5c0</t>
  </si>
  <si>
    <t>Mixed Seeds &amp; Nuts</t>
  </si>
  <si>
    <t>Tree Nuts, Peanuts, Soy</t>
  </si>
  <si>
    <t>677d30843a4714a02f9000b3</t>
  </si>
  <si>
    <t>Miyoko's European Style Plant Milk Butter</t>
  </si>
  <si>
    <t>664f1762da8a8e3e2704bd34</t>
  </si>
  <si>
    <t>Molasse</t>
  </si>
  <si>
    <t>6619132cb8049ccf94165768</t>
  </si>
  <si>
    <t>Mole Poblano Sauce</t>
  </si>
  <si>
    <t>6619132cb8049ccf94165767</t>
  </si>
  <si>
    <t>Mole Poblano Sauce Mix (Dry)</t>
  </si>
  <si>
    <t>684806e2a8c459878382c5ed</t>
  </si>
  <si>
    <t>Molokhia Leaves</t>
  </si>
  <si>
    <t>67a2e5d1ba7dab10cef75d83</t>
  </si>
  <si>
    <t>Monk Fruit Erythritol Sweetener</t>
  </si>
  <si>
    <t>66191302b8049ccf94165301</t>
  </si>
  <si>
    <t>Monkfish</t>
  </si>
  <si>
    <t>6597ed6cff026c56da976008</t>
  </si>
  <si>
    <t>Monkfish Cheeks</t>
  </si>
  <si>
    <t>6597ed6cff026c56da97600a</t>
  </si>
  <si>
    <t>Monkfish Fillet</t>
  </si>
  <si>
    <t>6619132db8049ccf94165777</t>
  </si>
  <si>
    <t>Monterey Cheese</t>
  </si>
  <si>
    <t>6619132db8049ccf9416578e</t>
  </si>
  <si>
    <t>Monterey Cheese (Low Fat)</t>
  </si>
  <si>
    <t>66191327b8049ccf94165715</t>
  </si>
  <si>
    <t>Moose Meat</t>
  </si>
  <si>
    <t>6597ed75ff026c56da97618b</t>
  </si>
  <si>
    <t>Morchella</t>
  </si>
  <si>
    <t>Mushrooms</t>
  </si>
  <si>
    <t>667d2dbeda025dbd8d4e8ceb</t>
  </si>
  <si>
    <t>Moroccan Spice Blend</t>
  </si>
  <si>
    <t>6619130db8049ccf94165426</t>
  </si>
  <si>
    <t>Mothbeans (Mature Seeds)</t>
  </si>
  <si>
    <t>686f884cf4c3091b2e8c5f06</t>
  </si>
  <si>
    <t>Mother Earth Chocolate Chip Baked Oaty Slice</t>
  </si>
  <si>
    <t>66191327b8049ccf9416570d</t>
  </si>
  <si>
    <t>Mother's Pork Loaf</t>
  </si>
  <si>
    <t>66191337b8049ccf94165886</t>
  </si>
  <si>
    <t>Mouvedre Wine</t>
  </si>
  <si>
    <t>6619132db8049ccf9416578d</t>
  </si>
  <si>
    <t>Mozzarella (Part Skim Milk, Low Moisture)</t>
  </si>
  <si>
    <t>6597ed75ff026c56da976180</t>
  </si>
  <si>
    <t>Mozzarella Balls</t>
  </si>
  <si>
    <t>6597ed6dff026c56da97602e</t>
  </si>
  <si>
    <t>Mozzarella Cheese</t>
  </si>
  <si>
    <t>6619132db8049ccf9416578c</t>
  </si>
  <si>
    <t>Mozzarella Cheese (Low Sodium)</t>
  </si>
  <si>
    <t>6619132db8049ccf9416578b</t>
  </si>
  <si>
    <t>Mozzarella Cheese (Nonfat)</t>
  </si>
  <si>
    <t>6619132db8049ccf9416578a</t>
  </si>
  <si>
    <t>Mozzarella Cheese (Part Skim Milk)</t>
  </si>
  <si>
    <t>6619132db8049ccf94165789</t>
  </si>
  <si>
    <t>Mozzarella Cheese (Substitute)</t>
  </si>
  <si>
    <t>6619132db8049ccf94165788</t>
  </si>
  <si>
    <t>Mozzarella Cheese (Whole Milk)</t>
  </si>
  <si>
    <t>6597ed69ff026c56da975f9e</t>
  </si>
  <si>
    <t>Mozzarella Di Bufala</t>
  </si>
  <si>
    <t>686f884cf4c3091b2e8c5f07</t>
  </si>
  <si>
    <t>Mr Brownie Chocolate Brownie</t>
  </si>
  <si>
    <t>686f884cf4c3091b2e8c5f08</t>
  </si>
  <si>
    <t>Mr Chen's Hokkien Noodles</t>
  </si>
  <si>
    <t>686f884cf4c3091b2e8c5f09</t>
  </si>
  <si>
    <t>Mr Chen's Rice Vermicelli Noodles</t>
  </si>
  <si>
    <t>686f884cf4c3091b2e8c5f0a</t>
  </si>
  <si>
    <t>Mr Chen's Sriracha Hot Chilli Sauce</t>
  </si>
  <si>
    <t>682c4e2cf2fdbf2cd0ac60c6</t>
  </si>
  <si>
    <t>Mr Chen's Teriyaki Sauce</t>
  </si>
  <si>
    <t>686f884cf4c3091b2e8c5f0b</t>
  </si>
  <si>
    <t>Mr Chen's Udon Noodles</t>
  </si>
  <si>
    <t>67a2e5d1ba7dab10cef75d85</t>
  </si>
  <si>
    <t>Mr. Pitta Pitta Bread</t>
  </si>
  <si>
    <t>6619132db8049ccf94165787</t>
  </si>
  <si>
    <t>Muenster Cheese</t>
  </si>
  <si>
    <t>6619132db8049ccf94165786</t>
  </si>
  <si>
    <t>Muenster Cheese (Low Fat)</t>
  </si>
  <si>
    <t>66191330b8049ccf941657c6</t>
  </si>
  <si>
    <t>Muesli (Dried Fruit and Nuts)</t>
  </si>
  <si>
    <t>Berries, Stone Fruits</t>
  </si>
  <si>
    <t>6619130db8049ccf94165425</t>
  </si>
  <si>
    <t>Mulberry</t>
  </si>
  <si>
    <t>66191337b8049ccf94165885</t>
  </si>
  <si>
    <t>Muller Thurgau Wine</t>
  </si>
  <si>
    <t>675fe1e2589348ac18b05d40</t>
  </si>
  <si>
    <t>Multigrain Bread</t>
  </si>
  <si>
    <t>66191305b8049ccf94165346</t>
  </si>
  <si>
    <t>Multigrain Brown Rice Cakes</t>
  </si>
  <si>
    <t>6597ed63ff026c56da975ecc</t>
  </si>
  <si>
    <t>Mung Bean Sprouts</t>
  </si>
  <si>
    <t>6619130db8049ccf94165423</t>
  </si>
  <si>
    <t>Mung Beans</t>
  </si>
  <si>
    <t>6619130db8049ccf94165424</t>
  </si>
  <si>
    <t>Mung Beans (Canned)</t>
  </si>
  <si>
    <t>686f884cf4c3091b2e8c5f0c</t>
  </si>
  <si>
    <t>Musashi Protein Crisp Bar Choc Peanut</t>
  </si>
  <si>
    <t>Peanuts, Soy, Tree Nuts</t>
  </si>
  <si>
    <t>686f884cf4c3091b2e8c5f0d</t>
  </si>
  <si>
    <t>Musashi Protein Crisp Bar Vanilla Caramel</t>
  </si>
  <si>
    <t>Soy, Tree Nuts, Peanuts</t>
  </si>
  <si>
    <t>67a2e5d1ba7dab10cef75d86</t>
  </si>
  <si>
    <t>Musashi Salted Caramel Protein Powder</t>
  </si>
  <si>
    <t>686f884cf4c3091b2e8c5f0e</t>
  </si>
  <si>
    <t>Musashi Vanilla High Protein Powder</t>
  </si>
  <si>
    <t>66191337b8049ccf94165884</t>
  </si>
  <si>
    <t>Muscat Wine</t>
  </si>
  <si>
    <t>67a4343748ad24c4a120a620</t>
  </si>
  <si>
    <t>Muscle Nation Protein Frozen Dessert Cookies &amp; Cream</t>
  </si>
  <si>
    <t>682c4e2cf2fdbf2cd0ac60c8</t>
  </si>
  <si>
    <t>Muscle Nation Protein Powder - Vanilla Ice Cream</t>
  </si>
  <si>
    <t>6597ed75ff026c56da976173</t>
  </si>
  <si>
    <t>Muscovado</t>
  </si>
  <si>
    <t>6597ed6cff026c56da975ffa</t>
  </si>
  <si>
    <t>Muscovy Duck</t>
  </si>
  <si>
    <t>66191336b8049ccf9416584d</t>
  </si>
  <si>
    <t>Mushroom Barley Soup (Canned, Condensed)</t>
  </si>
  <si>
    <t>66191335b8049ccf94165833</t>
  </si>
  <si>
    <t>Mushroom Gravy</t>
  </si>
  <si>
    <t>66191335b8049ccf94165834</t>
  </si>
  <si>
    <t>Mushroom Gravy (Canned)</t>
  </si>
  <si>
    <t>6597ed75ff026c56da976192</t>
  </si>
  <si>
    <t>Mushroom Mix</t>
  </si>
  <si>
    <t>6619132cb8049ccf94165766</t>
  </si>
  <si>
    <t>Mushroom Sauce (Dry, Dehydrated)</t>
  </si>
  <si>
    <t>6650a3e919b710cde6a283d6</t>
  </si>
  <si>
    <t>Mushroom Stir-Fry</t>
  </si>
  <si>
    <t>66191336b8049ccf9416584c</t>
  </si>
  <si>
    <t>Mushroom with Beef Stock Soup (Canned, Condensed)</t>
  </si>
  <si>
    <t>6619130db8049ccf94165422</t>
  </si>
  <si>
    <t>6597ed6cff026c56da97600f</t>
  </si>
  <si>
    <t>Mussel</t>
  </si>
  <si>
    <t>Shellfish</t>
  </si>
  <si>
    <t>664723a3d7f2b6e4e782d5bf</t>
  </si>
  <si>
    <t>Mustard</t>
  </si>
  <si>
    <t>6619130db8049ccf94165421</t>
  </si>
  <si>
    <t>Mustard Cabbage (Salted)</t>
  </si>
  <si>
    <t>Cruciferous</t>
  </si>
  <si>
    <t>6597ed75ff026c56da976182</t>
  </si>
  <si>
    <t>Mustard Flour</t>
  </si>
  <si>
    <t>6597ed74ff026c56da97615d</t>
  </si>
  <si>
    <t>Mustard Greens</t>
  </si>
  <si>
    <t>6619130db8049ccf94165420</t>
  </si>
  <si>
    <t>Mustard Greens (Frozen)</t>
  </si>
  <si>
    <t>6597ed75ff026c56da976167</t>
  </si>
  <si>
    <t>Mustard Oil</t>
  </si>
  <si>
    <t>6650a3e954ed64f2faa9c0e3</t>
  </si>
  <si>
    <t>Mustard Seeds</t>
  </si>
  <si>
    <t>6619130db8049ccf9416541f</t>
  </si>
  <si>
    <t>Mustard Spinach (Tendergreen)</t>
  </si>
  <si>
    <t>66191317b8049ccf9416552d</t>
  </si>
  <si>
    <t>Mustard Vegetable Oil</t>
  </si>
  <si>
    <t>686f884cf4c3091b2e8c5f0f</t>
  </si>
  <si>
    <t>Mutti Parmigiano Reggiano Pasta Sauce</t>
  </si>
  <si>
    <t>686f884cf4c3091b2e8c5f10</t>
  </si>
  <si>
    <t>Mutti Passata</t>
  </si>
  <si>
    <t>686f884cf4c3091b2e8c5f11</t>
  </si>
  <si>
    <t>Mutti Pizza Sauce Classica</t>
  </si>
  <si>
    <t>685522f2a2fdbbb8dd6ef54a</t>
  </si>
  <si>
    <t>Mutti Polpa Finely Chopped Tomatoes</t>
  </si>
  <si>
    <t>674698d024c0ced1e5915abf</t>
  </si>
  <si>
    <t>Mutti Sugo Parmigiano Reggiano</t>
  </si>
  <si>
    <t>682c4e2cf2fdbf2cd0ac60c9</t>
  </si>
  <si>
    <t>Mutti Vegetable Paste</t>
  </si>
  <si>
    <t>66191317b8049ccf9416552c</t>
  </si>
  <si>
    <t>Mutton Tallow Fat</t>
  </si>
  <si>
    <t>Lamb</t>
  </si>
  <si>
    <t>686f884cf4c3091b2e8c5f12</t>
  </si>
  <si>
    <t>MyProtein Advanced Weight Gainer Chocolate Smooth</t>
  </si>
  <si>
    <t>Caffeine, Sweeteners</t>
  </si>
  <si>
    <t>686f884cf4c3091b2e8c5f13</t>
  </si>
  <si>
    <t>MyProtein Chicken Kebab Meat</t>
  </si>
  <si>
    <t>686f884cf4c3091b2e8c5f14</t>
  </si>
  <si>
    <t>MyProtein Clear Whey Isolate Lemonade</t>
  </si>
  <si>
    <t>686f884cf4c3091b2e8c5f15</t>
  </si>
  <si>
    <t>MyProtein Clear Whey Protein Peach Tea</t>
  </si>
  <si>
    <t>675fe1e2589348ac18b05d41</t>
  </si>
  <si>
    <t>MyProtein Crispy Protein Wafer</t>
  </si>
  <si>
    <t>67320ad689b3bf49ae88d69f</t>
  </si>
  <si>
    <t>MyProtein Flav Drop</t>
  </si>
  <si>
    <t>675fe1e2589348ac18b05d8b</t>
  </si>
  <si>
    <t>MyProtein Impact Protein Bar</t>
  </si>
  <si>
    <t>684807b9a8c459878382c648</t>
  </si>
  <si>
    <t>MyProtein Layered Bar Chocolate Triple Chocolate Fudge</t>
  </si>
  <si>
    <t>6597ed76ff026c56da9761af</t>
  </si>
  <si>
    <t>Mâche</t>
  </si>
  <si>
    <t>6597ed67ff026c56da975f63</t>
  </si>
  <si>
    <t>Naan Bread</t>
  </si>
  <si>
    <t>675fe1e2589348ac18b05d42</t>
  </si>
  <si>
    <t>Nacho Cheese Dip</t>
  </si>
  <si>
    <t>6650a3e97e0d052ce7e22fcd</t>
  </si>
  <si>
    <t>Naked Tofu</t>
  </si>
  <si>
    <t>6597ed79ff026c56da976225</t>
  </si>
  <si>
    <t>Nam Pla</t>
  </si>
  <si>
    <t>664723a3d7f2b6e4e782d5be</t>
  </si>
  <si>
    <t>Nanami Togarashi Seasoning</t>
  </si>
  <si>
    <t>677d30843a4714a02f900082</t>
  </si>
  <si>
    <t>Nando's Garlic Peri-Peri Rub</t>
  </si>
  <si>
    <t>675fe1e2589348ac18b05d44</t>
  </si>
  <si>
    <t>Nando's Lemon &amp; Herb Peri Peri Marinade</t>
  </si>
  <si>
    <t>675fe1e2589348ac18b05d45</t>
  </si>
  <si>
    <t>Nando's Lemon &amp; Herb Peri Peri Rub</t>
  </si>
  <si>
    <t>682c4ea3f2fdbf2cd0ac6142</t>
  </si>
  <si>
    <t>Nando's Medium Peri-Peri Quick Marinade</t>
  </si>
  <si>
    <t>67320ad689b3bf49ae88d667</t>
  </si>
  <si>
    <t>Nando's Medium Peri-Peri Sauce</t>
  </si>
  <si>
    <t>682c4e2cf2fdbf2cd0ac60ca</t>
  </si>
  <si>
    <t>Nando's Mild Perinaise</t>
  </si>
  <si>
    <t>686f884cf4c3091b2e8c5f16</t>
  </si>
  <si>
    <t>Nando's Peri BBQ Sauce</t>
  </si>
  <si>
    <t>67a2e5d1ba7dab10cef75d87</t>
  </si>
  <si>
    <t>Nando's Peri-Peri Salt</t>
  </si>
  <si>
    <t>67320ad689b3bf49ae88d668</t>
  </si>
  <si>
    <t>Nando's Perinaise</t>
  </si>
  <si>
    <t>686f884cf4c3091b2e8c5f17</t>
  </si>
  <si>
    <t>Nando's Smokey BBQ Peri-Peri Rub</t>
  </si>
  <si>
    <t>675fe1e2589348ac18b05d43</t>
  </si>
  <si>
    <t>Nando's Sweet Chilli Jam</t>
  </si>
  <si>
    <t>682c4ea3f2fdbf2cd0ac6143</t>
  </si>
  <si>
    <t>Nando’s Medium Peri-Peri Garlic Sauce</t>
  </si>
  <si>
    <t>6597ed68ff026c56da975f6a</t>
  </si>
  <si>
    <t>Napa Cabbage</t>
  </si>
  <si>
    <t>6597ed68ff026c56da975f7e</t>
  </si>
  <si>
    <t>Napa Cabbage Leaves</t>
  </si>
  <si>
    <t>66191312b8049ccf941654aa</t>
  </si>
  <si>
    <t>Natal Plum</t>
  </si>
  <si>
    <t>6619130cb8049ccf9416541e</t>
  </si>
  <si>
    <t>Native Persimmon</t>
  </si>
  <si>
    <t>6619130cb8049ccf9416541d</t>
  </si>
  <si>
    <t>Natto</t>
  </si>
  <si>
    <t>6650a3e9e109b888ce86f2dc</t>
  </si>
  <si>
    <t>Natural Cocoa Powder</t>
  </si>
  <si>
    <t>674698d024c0ced1e5915ab7</t>
  </si>
  <si>
    <t>Natural Light Chobani Greek Yogurt</t>
  </si>
  <si>
    <t>6650a3e9e9b682c2517f5ac4</t>
  </si>
  <si>
    <t>Natural Peanut Butter</t>
  </si>
  <si>
    <t>6650a3e9d391f305d3d729b6</t>
  </si>
  <si>
    <t>Natural Quark</t>
  </si>
  <si>
    <t>6650a3e97c292295351dd295</t>
  </si>
  <si>
    <t>Natural Soy Yogurt</t>
  </si>
  <si>
    <t>6650a3e9a6d800480bec9166</t>
  </si>
  <si>
    <t>Natural Tempeh</t>
  </si>
  <si>
    <t>6650a3e99027590c59d91c6d</t>
  </si>
  <si>
    <t>Natural Tofu</t>
  </si>
  <si>
    <t>6597ed78ff026c56da9761f9</t>
  </si>
  <si>
    <t>Natural Yogurt</t>
  </si>
  <si>
    <t>67a2e5d1ba7dab10cef75d88</t>
  </si>
  <si>
    <t>Nature Valley Oats &amp; Honey Protein Granola</t>
  </si>
  <si>
    <t>677d30843a4714a02f900083</t>
  </si>
  <si>
    <t>Nature Valley Peanut Butter Dark Chocolate Protein Bars</t>
  </si>
  <si>
    <t>Peanuts, Soy</t>
  </si>
  <si>
    <t>686f884cf4c3091b2e8c5f18</t>
  </si>
  <si>
    <t>Natureland Cacao Powder Low Fat</t>
  </si>
  <si>
    <t>686f884cf4c3091b2e8c5f19</t>
  </si>
  <si>
    <t>Natvia 100% Natural Brown Sweetener</t>
  </si>
  <si>
    <t>677d30843a4714a02f900084</t>
  </si>
  <si>
    <t>Natvia 100% Natural Sweetener</t>
  </si>
  <si>
    <t>6619130cb8049ccf9416541c</t>
  </si>
  <si>
    <t>Navel Orange</t>
  </si>
  <si>
    <t>6619130cb8049ccf9416541a</t>
  </si>
  <si>
    <t>Navy Beans</t>
  </si>
  <si>
    <t>6619130cb8049ccf9416541b</t>
  </si>
  <si>
    <t>Navy Beans (Canned)</t>
  </si>
  <si>
    <t>685522f2a2fdbbb8dd6ef54b</t>
  </si>
  <si>
    <t>Nescafe 98% Sugar Free Latte</t>
  </si>
  <si>
    <t>6855227fa2fdbbb8dd6ef4df</t>
  </si>
  <si>
    <t>Nesquik Strawberry Milkshake Powder Tub</t>
  </si>
  <si>
    <t>67c1820973f218d0633dc580</t>
  </si>
  <si>
    <t>Nestle Aero Peppermint Milk Chocolate Bar</t>
  </si>
  <si>
    <t>684807b9a8c459878382c604</t>
  </si>
  <si>
    <t>Nestle Bakers' Choice Dark Choc Melts</t>
  </si>
  <si>
    <t>686f884cf4c3091b2e8c5f1a</t>
  </si>
  <si>
    <t>Nestle Carnation Lite Cooking Cream</t>
  </si>
  <si>
    <t>677d30843a4714a02f900085</t>
  </si>
  <si>
    <t>Nestle KitKat Cereal</t>
  </si>
  <si>
    <t>677d30843a4714a02f9000c0</t>
  </si>
  <si>
    <t>Nestle Milkybar Mousse</t>
  </si>
  <si>
    <t>6619132db8049ccf94165785</t>
  </si>
  <si>
    <t>Neufchatel Cheese</t>
  </si>
  <si>
    <t>66191321b8049ccf9416565b</t>
  </si>
  <si>
    <t>New England Sausage (Pork, Beef)</t>
  </si>
  <si>
    <t>Pork, Beef</t>
  </si>
  <si>
    <t>682c4e2cf2fdbf2cd0ac60cb</t>
  </si>
  <si>
    <t>New Potatoes</t>
  </si>
  <si>
    <t>677d30843a4714a02f900086</t>
  </si>
  <si>
    <t>New York Cinnamon Bagel</t>
  </si>
  <si>
    <t>66191321b8049ccf9416565a</t>
  </si>
  <si>
    <t>New Zealand Lamb (Foreshank, Frozen)</t>
  </si>
  <si>
    <t>66191321b8049ccf94165659</t>
  </si>
  <si>
    <t>New Zealand Lamb (Foreshank, Lean Only, Frozen)</t>
  </si>
  <si>
    <t>66191321b8049ccf94165658</t>
  </si>
  <si>
    <t>New Zealand Lamb (Frozen)</t>
  </si>
  <si>
    <t>66191321b8049ccf94165657</t>
  </si>
  <si>
    <t>New Zealand Lamb Fat (Frozen)</t>
  </si>
  <si>
    <t>66191321b8049ccf94165656</t>
  </si>
  <si>
    <t>New Zealand Lamb Leg (Whole (Shank and Sirloin), Frozen)</t>
  </si>
  <si>
    <t>66191321b8049ccf94165655</t>
  </si>
  <si>
    <t>New Zealand Lamb Loin (Frozen)</t>
  </si>
  <si>
    <t>66191321b8049ccf94165654</t>
  </si>
  <si>
    <t>New Zealand Lamb Ribs (Frozen)</t>
  </si>
  <si>
    <t>66191321b8049ccf94165653</t>
  </si>
  <si>
    <t>New Zealand Lamb Shoulder (Whole (Arm and Blade), Frozen)</t>
  </si>
  <si>
    <t>6619130cb8049ccf94165419</t>
  </si>
  <si>
    <t>New Zealand Spinach</t>
  </si>
  <si>
    <t>675fe1e2589348ac18b05d55</t>
  </si>
  <si>
    <t>Niulife Cocomino Vegan Fysh Sauce</t>
  </si>
  <si>
    <t>677d30843a4714a02f900089</t>
  </si>
  <si>
    <t>No Added Sugar Ice Cream</t>
  </si>
  <si>
    <t>66191315b8049ccf941654ef</t>
  </si>
  <si>
    <t>No Meat Spaghetti (Canned)</t>
  </si>
  <si>
    <t>Wheat, Pasta Alternatives</t>
  </si>
  <si>
    <t>6597ed7aff026c56da97625c</t>
  </si>
  <si>
    <t>No Salt Added Diced Tomatoes</t>
  </si>
  <si>
    <t>6597ed71ff026c56da9760d3</t>
  </si>
  <si>
    <t>No Salt Added Peanut Butter</t>
  </si>
  <si>
    <t>667d2dbe9968e60e898bc58c</t>
  </si>
  <si>
    <t>No Salt Added Tomato Paste</t>
  </si>
  <si>
    <t>667d2dbe74f8d2a7a140d3aa</t>
  </si>
  <si>
    <t>No Salt Added Tomato Sauce</t>
  </si>
  <si>
    <t>682c4ea3f2fdbf2cd0ac60ef</t>
  </si>
  <si>
    <t>No-Added-Sugar Chocolate Muesli</t>
  </si>
  <si>
    <t>682c4e2cf2fdbf2cd0ac6098</t>
  </si>
  <si>
    <t>No-Sugar-Added Ketchup</t>
  </si>
  <si>
    <t>681b176ad703e1b82933fdd7</t>
  </si>
  <si>
    <t>No-Sugar-Added Marinara Sauce</t>
  </si>
  <si>
    <t>667d2dbe458b1dca470da0ce</t>
  </si>
  <si>
    <t>No-salt-added Diced Peeled Tomatoes</t>
  </si>
  <si>
    <t>667d2dbeaba8a711fcd3f900</t>
  </si>
  <si>
    <t>No-salt-added Italian Diced Tomatoes</t>
  </si>
  <si>
    <t>667d2dbedb8ad3a464bd505d</t>
  </si>
  <si>
    <t>No-salt-added Pasta Sauce</t>
  </si>
  <si>
    <t>686f884cf4c3091b2e8c5f1b</t>
  </si>
  <si>
    <t>Noble Extra Lean Ground Bison</t>
  </si>
  <si>
    <t>66191337b8049ccf94165883</t>
  </si>
  <si>
    <t>Non Alcoholic Wine</t>
  </si>
  <si>
    <t>6597ed70ff026c56da9760ba</t>
  </si>
  <si>
    <t>Non Fat Sour Cream</t>
  </si>
  <si>
    <t>67320ad689b3bf49ae88d69e</t>
  </si>
  <si>
    <t>Non-Alcoholic Beer</t>
  </si>
  <si>
    <t>674698d024c0ced1e5915a94</t>
  </si>
  <si>
    <t>Non-Cream Biscoff Biscuit</t>
  </si>
  <si>
    <t>67320ad689b3bf49ae88d672</t>
  </si>
  <si>
    <t>Non-Dairy Soy Feta Cheese</t>
  </si>
  <si>
    <t>Non-Dairy Cheese</t>
  </si>
  <si>
    <t>664f17627eb45496742b1c19</t>
  </si>
  <si>
    <t>Non-Fat Dairy Milk</t>
  </si>
  <si>
    <t>664f1762f005c246ae452057</t>
  </si>
  <si>
    <t>Non-Fat Plain Greek Yogurt</t>
  </si>
  <si>
    <t>66191316b8049ccf9416550a</t>
  </si>
  <si>
    <t>Non-dairy Milk</t>
  </si>
  <si>
    <t>6597ed78ff026c56da9761ff</t>
  </si>
  <si>
    <t>Non-fat Greek Yogurt</t>
  </si>
  <si>
    <t>67528fcc30baf48560ea8cbd</t>
  </si>
  <si>
    <t>Nonfat Milk Powder</t>
  </si>
  <si>
    <t>667d2dbee0f3a765d27a1348</t>
  </si>
  <si>
    <t>Nonfat Plain Yogurt</t>
  </si>
  <si>
    <t>67528fcc30baf48560ea8cb8</t>
  </si>
  <si>
    <t>Nonstick Cooking Spray</t>
  </si>
  <si>
    <t>67528fcc30baf48560ea8c86</t>
  </si>
  <si>
    <t>Nonstick Vegetable Oil Spray</t>
  </si>
  <si>
    <t>6597ed63ff026c56da975edd</t>
  </si>
  <si>
    <t>Noodles</t>
  </si>
  <si>
    <t>677d30843a4714a02f900075</t>
  </si>
  <si>
    <t>Noor Light Mayonnaise With Olive Oil</t>
  </si>
  <si>
    <t>6619130cb8049ccf94165418</t>
  </si>
  <si>
    <t>Nopales</t>
  </si>
  <si>
    <t>6650a3e9d8428069bbb5d92d</t>
  </si>
  <si>
    <t>Nori</t>
  </si>
  <si>
    <t>66191302b8049ccf94165300</t>
  </si>
  <si>
    <t>Northern Lobster</t>
  </si>
  <si>
    <t>66191302b8049ccf941652ff</t>
  </si>
  <si>
    <t>Northern Pike (Fish)</t>
  </si>
  <si>
    <t>67c1820973f218d0633dc5d9</t>
  </si>
  <si>
    <t>Norwegian Dry-Cured Ham</t>
  </si>
  <si>
    <t>686f884cf4c3091b2e8c5f1c</t>
  </si>
  <si>
    <t>Noshu Sugar Free Choc Baking Chips</t>
  </si>
  <si>
    <t>686f884cf4c3091b2e8c5f1d</t>
  </si>
  <si>
    <t>Noshu Sugar Free Chocolate Milk Melts</t>
  </si>
  <si>
    <t>682c4e2cf2fdbf2cd0ac60ce</t>
  </si>
  <si>
    <t>Noshu Sugar Free Dac Choc Baking Chips</t>
  </si>
  <si>
    <t>686f884cf4c3091b2e8c5f1e</t>
  </si>
  <si>
    <t>Noshu Sugar Free White Choc Baking Chips</t>
  </si>
  <si>
    <t>675fe1e2589348ac18b05d8d</t>
  </si>
  <si>
    <t>Nothing Naughty Premium Whey Protein Bites</t>
  </si>
  <si>
    <t>682c4e2cf2fdbf2cd0ac60cf</t>
  </si>
  <si>
    <t>Nudairy's Dairy-Free Cheddar Slices</t>
  </si>
  <si>
    <t>664f1762d5eaa3fe2b343502</t>
  </si>
  <si>
    <t>Nut Butter</t>
  </si>
  <si>
    <t>Tree Nuts, Peanuts</t>
  </si>
  <si>
    <t>675fe1e2589348ac18b05d7e</t>
  </si>
  <si>
    <t>Nutella</t>
  </si>
  <si>
    <t>684806e2a8c459878382c5ee</t>
  </si>
  <si>
    <t>Nutella Biscuits</t>
  </si>
  <si>
    <t>664f1762ea3a5272f175512d</t>
  </si>
  <si>
    <t>Nutmeg</t>
  </si>
  <si>
    <t>661912ffb8049ccf941652b3</t>
  </si>
  <si>
    <t>Nutmeg (Ground)</t>
  </si>
  <si>
    <t>66191317b8049ccf9416552b</t>
  </si>
  <si>
    <t>Nutmeg Butter Vegetable Oil</t>
  </si>
  <si>
    <t>677d30843a4714a02f90008a</t>
  </si>
  <si>
    <t>Nutra Organics Super Greens &amp; Reds</t>
  </si>
  <si>
    <t>Leafy Greens, Mushrooms</t>
  </si>
  <si>
    <t>682c4ea3f2fdbf2cd0ac6109</t>
  </si>
  <si>
    <t>Nutripure Whey Isolate Native Protein</t>
  </si>
  <si>
    <t>664723a3d7f2b6e4e782d5bd</t>
  </si>
  <si>
    <t>Nutritional Yeast</t>
  </si>
  <si>
    <t>6597ed67ff026c56da975f40</t>
  </si>
  <si>
    <t>Nutritional Yeast Flakes</t>
  </si>
  <si>
    <t>67a2e5d1ba7dab10cef75d89</t>
  </si>
  <si>
    <t>Nuttelex Buttery</t>
  </si>
  <si>
    <t>6619130cb8049ccf94165417</t>
  </si>
  <si>
    <t>O'Brien Potatoes</t>
  </si>
  <si>
    <t>Potatoes, Wheat</t>
  </si>
  <si>
    <t>6619130cb8049ccf94165416</t>
  </si>
  <si>
    <t>O'Brien Potatoes (Frozen)</t>
  </si>
  <si>
    <t>Eggs, Dairy</t>
  </si>
  <si>
    <t>675fe1e2589348ac18b05d56</t>
  </si>
  <si>
    <t>O'Doughs Vegan Bagel</t>
  </si>
  <si>
    <t>Wheat, Potatoes</t>
  </si>
  <si>
    <t>682c4e2cf2fdbf2cd0ac60d0</t>
  </si>
  <si>
    <t>O'Food Korean BBQ Bulgogi Marinade For Beef</t>
  </si>
  <si>
    <t>686f884cf4c3091b2e8c5f1f</t>
  </si>
  <si>
    <t>OB Finest Crackers Fig &amp; Cranberry</t>
  </si>
  <si>
    <t>67a2e5d1ba7dab10cef75d8a</t>
  </si>
  <si>
    <t>OWYN Dark Chocolate Protein Shake</t>
  </si>
  <si>
    <t>Peanuts, Tree Nuts, Soy</t>
  </si>
  <si>
    <t>6771451c9ac20d85d8c759dc</t>
  </si>
  <si>
    <t>Oakhurst Lean Smoked Bacon</t>
  </si>
  <si>
    <t>66191330b8049ccf941657c5</t>
  </si>
  <si>
    <t>Oat Bran</t>
  </si>
  <si>
    <t>6619133fb8049ccf94165961</t>
  </si>
  <si>
    <t>Oat Bran Bagels</t>
  </si>
  <si>
    <t>6619133eb8049ccf94165950</t>
  </si>
  <si>
    <t>Oat Bran Bread</t>
  </si>
  <si>
    <t>664723a3d7f2b6e4e782d5bc</t>
  </si>
  <si>
    <t>Oat Flour</t>
  </si>
  <si>
    <t>6619132fb8049ccf941657b1</t>
  </si>
  <si>
    <t>Oat Flour (Partially Debranned)</t>
  </si>
  <si>
    <t>67a2e5d1ba7dab10cef75d8b</t>
  </si>
  <si>
    <t>Oat Milk</t>
  </si>
  <si>
    <t>675fceafff4562f43d0b0de3</t>
  </si>
  <si>
    <t>Oat Milk Creamer</t>
  </si>
  <si>
    <t>66191317b8049ccf9416552a</t>
  </si>
  <si>
    <t>Oat Vegetable Oil</t>
  </si>
  <si>
    <t>6650a3e91bafce9fb471c274</t>
  </si>
  <si>
    <t>Oatmeal</t>
  </si>
  <si>
    <t>6619133eb8049ccf9416594f</t>
  </si>
  <si>
    <t>Oatmeal Bread</t>
  </si>
  <si>
    <t>66191328b8049ccf94165737</t>
  </si>
  <si>
    <t>Oats</t>
  </si>
  <si>
    <t>66191330b8049ccf941657c4</t>
  </si>
  <si>
    <t>Oats Cereal</t>
  </si>
  <si>
    <t>66191330b8049ccf941657c3</t>
  </si>
  <si>
    <t>Oats Corn and Wheat Maples Flavored Squares Cereal</t>
  </si>
  <si>
    <t>Wheat, Corn, Gluten-Free Grains</t>
  </si>
  <si>
    <t>66191330b8049ccf941657c2</t>
  </si>
  <si>
    <t>Oats Wheat Rice Corn Cereal with Fruit and Almonds</t>
  </si>
  <si>
    <t>67320ad689b3bf49ae88d652</t>
  </si>
  <si>
    <t>Obap Roasted Seaweed Snacks</t>
  </si>
  <si>
    <t>67a2e5d1ba7dab10cef75d8c</t>
  </si>
  <si>
    <t>Obela Classic Tzatziki Dip</t>
  </si>
  <si>
    <t>677d30843a4714a02f90008b</t>
  </si>
  <si>
    <t>Obento Mirin Seasoning</t>
  </si>
  <si>
    <t>67a2e5d1ba7dab10cef75d8d</t>
  </si>
  <si>
    <t>Ocean Blue Wild Caught Smoked Sockeye Salmon</t>
  </si>
  <si>
    <t>66191302b8049ccf941652fe</t>
  </si>
  <si>
    <t>Ocean Pout (Fish)</t>
  </si>
  <si>
    <t>66191302b8049ccf941652fd</t>
  </si>
  <si>
    <t>Octopus</t>
  </si>
  <si>
    <t>66191302b8049ccf941652fc</t>
  </si>
  <si>
    <t>Octopus (Alaska Native)</t>
  </si>
  <si>
    <t>684807b9a8c459878382c627</t>
  </si>
  <si>
    <t>Off The Bone Ham</t>
  </si>
  <si>
    <t>6619130cb8049ccf94165415</t>
  </si>
  <si>
    <t>Oheloberry</t>
  </si>
  <si>
    <t>682c4ea3f2fdbf2cd0ac60f0</t>
  </si>
  <si>
    <t>Oikos Pro Vanilla Yogurt</t>
  </si>
  <si>
    <t>677d30843a4714a02f90008c</t>
  </si>
  <si>
    <t>Oikos Triple Zero Greek Yogurt</t>
  </si>
  <si>
    <t>6597ed73ff026c56da97611a</t>
  </si>
  <si>
    <t>Oil</t>
  </si>
  <si>
    <t>6597ed73ff026c56da97612d</t>
  </si>
  <si>
    <t>Oil Cured Black Olives</t>
  </si>
  <si>
    <t>6650a3e9b7321fd3150519bf</t>
  </si>
  <si>
    <t>Oil From Sun-dried Tomato</t>
  </si>
  <si>
    <t>6597ed72ff026c56da976106</t>
  </si>
  <si>
    <t>Oil Packed Sundried Tomatoes</t>
  </si>
  <si>
    <t>66191319b8049ccf9416557b</t>
  </si>
  <si>
    <t>Oil Roasted Almonds</t>
  </si>
  <si>
    <t>66191319b8049ccf9416557a</t>
  </si>
  <si>
    <t>Oil Roasted Cashew Nuts</t>
  </si>
  <si>
    <t>66191319b8049ccf94165579</t>
  </si>
  <si>
    <t>Oil Roasted Macadamia Nuts</t>
  </si>
  <si>
    <t>66191319b8049ccf94165578</t>
  </si>
  <si>
    <t>Oil Roasted Mixed Nuts</t>
  </si>
  <si>
    <t>66191319b8049ccf94165577</t>
  </si>
  <si>
    <t>Oil Roasted Peanuts</t>
  </si>
  <si>
    <t>66191319b8049ccf94165576</t>
  </si>
  <si>
    <t>Oil Roasted Pecan Nuts</t>
  </si>
  <si>
    <t>66191319b8049ccf94165575</t>
  </si>
  <si>
    <t>Oil Roasted Spanish Peanuts</t>
  </si>
  <si>
    <t>66191319b8049ccf94165574</t>
  </si>
  <si>
    <t>Oil Roasted Sunflower Seeds</t>
  </si>
  <si>
    <t>66191319b8049ccf94165573</t>
  </si>
  <si>
    <t>Oil Roasted Valencia Peanuts</t>
  </si>
  <si>
    <t>66191319b8049ccf94165572</t>
  </si>
  <si>
    <t>Oil Roasted Virginia Peanuts</t>
  </si>
  <si>
    <t>6597ed73ff026c56da976115</t>
  </si>
  <si>
    <t>Oil-packed Albacore Tuna</t>
  </si>
  <si>
    <t>66191306b8049ccf94165368</t>
  </si>
  <si>
    <t>Okara Tofu</t>
  </si>
  <si>
    <t>6619130cb8049ccf94165414</t>
  </si>
  <si>
    <t>Okra</t>
  </si>
  <si>
    <t>6619130cb8049ccf94165413</t>
  </si>
  <si>
    <t>Okra (Frozen)</t>
  </si>
  <si>
    <t>675fe1e2589348ac18b05d6c</t>
  </si>
  <si>
    <t>Old El Paso Chunky Salsa</t>
  </si>
  <si>
    <t>677d30843a4714a02f90008d</t>
  </si>
  <si>
    <t>Old El Paso Crispy Chicken Spice Mix</t>
  </si>
  <si>
    <t>677d30843a4714a02f90008e</t>
  </si>
  <si>
    <t>Old El Paso Fajita Spice Mix</t>
  </si>
  <si>
    <t>6855227fa2fdbbb8dd6ef4de</t>
  </si>
  <si>
    <t>Old El Paso Large Extra Thin Tortillas</t>
  </si>
  <si>
    <t>684806e2a8c459878382c5b9</t>
  </si>
  <si>
    <t>Old El Paso Mexican Black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</si>
</sst>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3" max="3" width="59.5"/>
    <col customWidth="1" min="4" max="4" width="79.7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 t="s">
        <v>12</v>
      </c>
      <c r="B2" s="2" t="s">
        <v>13</v>
      </c>
      <c r="C2" s="2" t="s">
        <v>14</v>
      </c>
      <c r="D2" s="2" t="str">
        <f>IFERROR(__xludf.DUMMYFUNCTION("BYROW(F2:BC5766, LAMBDA(r, TEXTJOIN("", "", TRUE, FILTER(r, r&lt;&gt;""""))))"),"Other")</f>
        <v>Other</v>
      </c>
      <c r="M2" s="2" t="s">
        <v>15</v>
      </c>
    </row>
    <row r="3">
      <c r="A3" s="2" t="s">
        <v>16</v>
      </c>
      <c r="B3" s="2" t="s">
        <v>13</v>
      </c>
      <c r="C3" s="2" t="s">
        <v>17</v>
      </c>
      <c r="D3" s="2" t="str">
        <f>IFERROR(__xludf.DUMMYFUNCTION("""COMPUTED_VALUE"""),"Wheat, Sweeteners")</f>
        <v>Wheat, Sweeteners</v>
      </c>
      <c r="E3" s="2" t="s">
        <v>18</v>
      </c>
      <c r="G3" s="2" t="s">
        <v>19</v>
      </c>
      <c r="L3" s="2" t="s">
        <v>20</v>
      </c>
    </row>
    <row r="4">
      <c r="A4" s="2" t="s">
        <v>21</v>
      </c>
      <c r="B4" s="2" t="s">
        <v>13</v>
      </c>
      <c r="C4" s="2" t="s">
        <v>22</v>
      </c>
      <c r="D4" s="2" t="str">
        <f>IFERROR(__xludf.DUMMYFUNCTION("""COMPUTED_VALUE"""),"Wheat")</f>
        <v>Wheat</v>
      </c>
      <c r="E4" s="2" t="s">
        <v>18</v>
      </c>
      <c r="G4" s="2" t="s">
        <v>19</v>
      </c>
    </row>
    <row r="5">
      <c r="A5" s="2" t="s">
        <v>23</v>
      </c>
      <c r="B5" s="2" t="s">
        <v>13</v>
      </c>
      <c r="C5" s="2" t="s">
        <v>24</v>
      </c>
      <c r="D5" s="2" t="str">
        <f>IFERROR(__xludf.DUMMYFUNCTION("""COMPUTED_VALUE"""),"Wheat")</f>
        <v>Wheat</v>
      </c>
      <c r="G5" s="2" t="s">
        <v>19</v>
      </c>
    </row>
    <row r="6">
      <c r="A6" s="2" t="s">
        <v>25</v>
      </c>
      <c r="B6" s="2" t="s">
        <v>13</v>
      </c>
      <c r="C6" s="2" t="s">
        <v>26</v>
      </c>
      <c r="D6" s="2" t="str">
        <f>IFERROR(__xludf.DUMMYFUNCTION("""COMPUTED_VALUE"""),"Dried Herbs &amp; Spices")</f>
        <v>Dried Herbs &amp; Spices</v>
      </c>
      <c r="K6" s="2" t="s">
        <v>27</v>
      </c>
    </row>
    <row r="7">
      <c r="A7" s="2" t="s">
        <v>28</v>
      </c>
      <c r="B7" s="2" t="s">
        <v>13</v>
      </c>
      <c r="C7" s="2" t="s">
        <v>29</v>
      </c>
      <c r="D7" s="2" t="str">
        <f>IFERROR(__xludf.DUMMYFUNCTION("""COMPUTED_VALUE"""),"#N/A")</f>
        <v>#N/A</v>
      </c>
      <c r="E7" s="2" t="s">
        <v>30</v>
      </c>
    </row>
    <row r="8">
      <c r="A8" s="2" t="s">
        <v>31</v>
      </c>
      <c r="B8" s="2" t="s">
        <v>13</v>
      </c>
      <c r="C8" s="2" t="s">
        <v>32</v>
      </c>
      <c r="D8" s="2" t="str">
        <f>IFERROR(__xludf.DUMMYFUNCTION("""COMPUTED_VALUE"""),"#N/A")</f>
        <v>#N/A</v>
      </c>
      <c r="E8" s="2" t="s">
        <v>30</v>
      </c>
    </row>
    <row r="9">
      <c r="A9" s="2" t="s">
        <v>33</v>
      </c>
      <c r="B9" s="2" t="s">
        <v>13</v>
      </c>
      <c r="C9" s="2" t="s">
        <v>34</v>
      </c>
      <c r="D9" s="2" t="str">
        <f>IFERROR(__xludf.DUMMYFUNCTION("""COMPUTED_VALUE"""),"Wheat")</f>
        <v>Wheat</v>
      </c>
      <c r="E9" s="2" t="s">
        <v>35</v>
      </c>
      <c r="G9" s="2" t="s">
        <v>19</v>
      </c>
    </row>
    <row r="10">
      <c r="A10" s="2" t="s">
        <v>36</v>
      </c>
      <c r="B10" s="2" t="s">
        <v>13</v>
      </c>
      <c r="C10" s="2" t="s">
        <v>37</v>
      </c>
      <c r="D10" s="2" t="str">
        <f>IFERROR(__xludf.DUMMYFUNCTION("""COMPUTED_VALUE"""),"#N/A")</f>
        <v>#N/A</v>
      </c>
      <c r="E10" s="2" t="s">
        <v>38</v>
      </c>
    </row>
    <row r="11">
      <c r="A11" s="2" t="s">
        <v>39</v>
      </c>
      <c r="B11" s="2" t="s">
        <v>13</v>
      </c>
      <c r="C11" s="2" t="s">
        <v>40</v>
      </c>
      <c r="D11" s="2" t="str">
        <f>IFERROR(__xludf.DUMMYFUNCTION("""COMPUTED_VALUE"""),"Corn")</f>
        <v>Corn</v>
      </c>
      <c r="G11" s="2" t="s">
        <v>41</v>
      </c>
    </row>
    <row r="12">
      <c r="A12" s="2" t="s">
        <v>42</v>
      </c>
      <c r="B12" s="2" t="s">
        <v>13</v>
      </c>
      <c r="C12" s="2" t="s">
        <v>43</v>
      </c>
      <c r="D12" s="2" t="str">
        <f>IFERROR(__xludf.DUMMYFUNCTION("""COMPUTED_VALUE"""),"Tree Nuts, Sweeteners")</f>
        <v>Tree Nuts, Sweeteners</v>
      </c>
      <c r="H12" s="2" t="s">
        <v>44</v>
      </c>
      <c r="L12" s="2" t="s">
        <v>20</v>
      </c>
    </row>
    <row r="13">
      <c r="A13" s="2" t="s">
        <v>45</v>
      </c>
      <c r="B13" s="2" t="s">
        <v>13</v>
      </c>
      <c r="C13" s="2" t="s">
        <v>46</v>
      </c>
      <c r="D13" s="2" t="str">
        <f>IFERROR(__xludf.DUMMYFUNCTION("""COMPUTED_VALUE"""),"Peanuts, Sweeteners")</f>
        <v>Peanuts, Sweeteners</v>
      </c>
      <c r="H13" s="2" t="s">
        <v>47</v>
      </c>
      <c r="L13" s="2" t="s">
        <v>20</v>
      </c>
    </row>
    <row r="14">
      <c r="A14" s="2" t="s">
        <v>48</v>
      </c>
      <c r="B14" s="2" t="s">
        <v>13</v>
      </c>
      <c r="C14" s="2" t="s">
        <v>49</v>
      </c>
      <c r="D14" s="2" t="str">
        <f>IFERROR(__xludf.DUMMYFUNCTION("""COMPUTED_VALUE"""),"Tree Nuts, Sweeteners")</f>
        <v>Tree Nuts, Sweeteners</v>
      </c>
      <c r="H14" s="2" t="s">
        <v>44</v>
      </c>
      <c r="L14" s="2" t="s">
        <v>20</v>
      </c>
    </row>
    <row r="15">
      <c r="A15" s="2" t="s">
        <v>50</v>
      </c>
      <c r="B15" s="2" t="s">
        <v>13</v>
      </c>
      <c r="C15" s="2" t="s">
        <v>51</v>
      </c>
      <c r="D15" s="2" t="str">
        <f>IFERROR(__xludf.DUMMYFUNCTION("""COMPUTED_VALUE"""),"#N/A")</f>
        <v>#N/A</v>
      </c>
    </row>
    <row r="16">
      <c r="A16" s="2" t="s">
        <v>52</v>
      </c>
      <c r="B16" s="2" t="s">
        <v>13</v>
      </c>
      <c r="C16" s="2" t="s">
        <v>53</v>
      </c>
      <c r="D16" s="2" t="str">
        <f>IFERROR(__xludf.DUMMYFUNCTION("""COMPUTED_VALUE"""),"Nightshades")</f>
        <v>Nightshades</v>
      </c>
      <c r="I16" s="2" t="s">
        <v>54</v>
      </c>
    </row>
    <row r="17">
      <c r="A17" s="2" t="s">
        <v>55</v>
      </c>
      <c r="B17" s="2" t="s">
        <v>13</v>
      </c>
      <c r="C17" s="2" t="s">
        <v>56</v>
      </c>
      <c r="D17" s="2" t="str">
        <f>IFERROR(__xludf.DUMMYFUNCTION("""COMPUTED_VALUE"""),"Nightshades, Alliums, Sweeteners")</f>
        <v>Nightshades, Alliums, Sweeteners</v>
      </c>
      <c r="I17" s="2" t="s">
        <v>57</v>
      </c>
      <c r="L17" s="2" t="s">
        <v>20</v>
      </c>
    </row>
    <row r="18">
      <c r="A18" s="2" t="s">
        <v>58</v>
      </c>
      <c r="B18" s="2" t="s">
        <v>13</v>
      </c>
      <c r="C18" s="2" t="s">
        <v>59</v>
      </c>
      <c r="D18" s="2" t="str">
        <f>IFERROR(__xludf.DUMMYFUNCTION("""COMPUTED_VALUE"""),"Gluten-Free Grains")</f>
        <v>Gluten-Free Grains</v>
      </c>
      <c r="G18" s="2" t="s">
        <v>60</v>
      </c>
    </row>
    <row r="19">
      <c r="A19" s="2" t="s">
        <v>61</v>
      </c>
      <c r="B19" s="2" t="s">
        <v>13</v>
      </c>
      <c r="C19" s="2" t="s">
        <v>62</v>
      </c>
      <c r="D19" s="2" t="str">
        <f>IFERROR(__xludf.DUMMYFUNCTION("""COMPUTED_VALUE"""),"#N/A")</f>
        <v>#N/A</v>
      </c>
      <c r="E19" s="2" t="s">
        <v>18</v>
      </c>
    </row>
    <row r="20">
      <c r="A20" s="2" t="s">
        <v>63</v>
      </c>
      <c r="B20" s="2" t="s">
        <v>13</v>
      </c>
      <c r="C20" s="2" t="s">
        <v>64</v>
      </c>
      <c r="D20" s="2" t="str">
        <f>IFERROR(__xludf.DUMMYFUNCTION("""COMPUTED_VALUE"""),"Soy")</f>
        <v>Soy</v>
      </c>
      <c r="H20" s="2" t="s">
        <v>65</v>
      </c>
    </row>
    <row r="21">
      <c r="A21" s="2" t="s">
        <v>66</v>
      </c>
      <c r="B21" s="2" t="s">
        <v>13</v>
      </c>
      <c r="C21" s="2" t="s">
        <v>67</v>
      </c>
      <c r="D21" s="2" t="str">
        <f>IFERROR(__xludf.DUMMYFUNCTION("""COMPUTED_VALUE"""),"Gluten-Free Grains, Sweeteners")</f>
        <v>Gluten-Free Grains, Sweeteners</v>
      </c>
      <c r="G21" s="2" t="s">
        <v>60</v>
      </c>
      <c r="L21" s="2" t="s">
        <v>20</v>
      </c>
    </row>
    <row r="22">
      <c r="A22" s="2" t="s">
        <v>68</v>
      </c>
      <c r="B22" s="2" t="s">
        <v>13</v>
      </c>
      <c r="C22" s="2" t="s">
        <v>69</v>
      </c>
      <c r="D22" s="2" t="str">
        <f>IFERROR(__xludf.DUMMYFUNCTION("""COMPUTED_VALUE"""),"Alliums, Dried Herbs &amp; Spices, Spicy, Sweeteners, Other")</f>
        <v>Alliums, Dried Herbs &amp; Spices, Spicy, Sweeteners, Other</v>
      </c>
      <c r="I22" s="2" t="s">
        <v>70</v>
      </c>
      <c r="K22" s="2" t="s">
        <v>71</v>
      </c>
      <c r="L22" s="2" t="s">
        <v>20</v>
      </c>
      <c r="M22" s="2" t="s">
        <v>15</v>
      </c>
    </row>
    <row r="23">
      <c r="A23" s="2" t="s">
        <v>72</v>
      </c>
      <c r="B23" s="2" t="s">
        <v>13</v>
      </c>
      <c r="C23" s="2" t="s">
        <v>73</v>
      </c>
      <c r="D23" s="2" t="str">
        <f>IFERROR(__xludf.DUMMYFUNCTION("""COMPUTED_VALUE"""),"Wheat, Soy, Alliums, Spicy, Sweeteners, Other")</f>
        <v>Wheat, Soy, Alliums, Spicy, Sweeteners, Other</v>
      </c>
      <c r="G23" s="2" t="s">
        <v>19</v>
      </c>
      <c r="H23" s="2" t="s">
        <v>65</v>
      </c>
      <c r="I23" s="2" t="s">
        <v>70</v>
      </c>
      <c r="K23" s="2" t="s">
        <v>74</v>
      </c>
      <c r="L23" s="2" t="s">
        <v>20</v>
      </c>
      <c r="M23" s="2" t="s">
        <v>15</v>
      </c>
    </row>
    <row r="24">
      <c r="A24" s="2" t="s">
        <v>75</v>
      </c>
      <c r="B24" s="2" t="s">
        <v>13</v>
      </c>
      <c r="C24" s="2" t="s">
        <v>76</v>
      </c>
      <c r="D24" s="2" t="str">
        <f>IFERROR(__xludf.DUMMYFUNCTION("""COMPUTED_VALUE"""),"Wheat, Gluten-Free Grains, Soy, Alliums, Spicy, Sweeteners, Other")</f>
        <v>Wheat, Gluten-Free Grains, Soy, Alliums, Spicy, Sweeteners, Other</v>
      </c>
      <c r="G24" s="2" t="s">
        <v>77</v>
      </c>
      <c r="H24" s="2" t="s">
        <v>65</v>
      </c>
      <c r="I24" s="2" t="s">
        <v>70</v>
      </c>
      <c r="K24" s="2" t="s">
        <v>74</v>
      </c>
      <c r="L24" s="2" t="s">
        <v>20</v>
      </c>
      <c r="M24" s="2" t="s">
        <v>15</v>
      </c>
    </row>
    <row r="25">
      <c r="A25" s="2" t="s">
        <v>78</v>
      </c>
      <c r="B25" s="2" t="s">
        <v>13</v>
      </c>
      <c r="C25" s="2" t="s">
        <v>79</v>
      </c>
      <c r="D25" s="2" t="str">
        <f>IFERROR(__xludf.DUMMYFUNCTION("""COMPUTED_VALUE"""),"Corn, Alliums, Dried Herbs &amp; Spices, Sweeteners, Other")</f>
        <v>Corn, Alliums, Dried Herbs &amp; Spices, Sweeteners, Other</v>
      </c>
      <c r="G25" s="2" t="s">
        <v>41</v>
      </c>
      <c r="I25" s="2" t="s">
        <v>70</v>
      </c>
      <c r="K25" s="2" t="s">
        <v>27</v>
      </c>
      <c r="L25" s="2" t="s">
        <v>20</v>
      </c>
      <c r="M25" s="2" t="s">
        <v>15</v>
      </c>
    </row>
    <row r="26">
      <c r="A26" s="2" t="s">
        <v>80</v>
      </c>
      <c r="B26" s="2" t="s">
        <v>13</v>
      </c>
      <c r="C26" s="2" t="s">
        <v>81</v>
      </c>
      <c r="D26" s="2" t="str">
        <f>IFERROR(__xludf.DUMMYFUNCTION("""COMPUTED_VALUE"""),"Corn, Soy, Alliums, Sweeteners")</f>
        <v>Corn, Soy, Alliums, Sweeteners</v>
      </c>
      <c r="E26" s="2" t="s">
        <v>18</v>
      </c>
      <c r="G26" s="2" t="s">
        <v>41</v>
      </c>
      <c r="H26" s="2" t="s">
        <v>65</v>
      </c>
      <c r="I26" s="2" t="s">
        <v>70</v>
      </c>
      <c r="L26" s="2" t="s">
        <v>20</v>
      </c>
    </row>
    <row r="27">
      <c r="A27" s="2" t="s">
        <v>82</v>
      </c>
      <c r="B27" s="2" t="s">
        <v>13</v>
      </c>
      <c r="C27" s="2" t="s">
        <v>83</v>
      </c>
      <c r="D27" s="2" t="str">
        <f>IFERROR(__xludf.DUMMYFUNCTION("""COMPUTED_VALUE"""),"Wheat, Soy, Sweeteners, Other")</f>
        <v>Wheat, Soy, Sweeteners, Other</v>
      </c>
      <c r="G27" s="2" t="s">
        <v>19</v>
      </c>
      <c r="H27" s="2" t="s">
        <v>65</v>
      </c>
      <c r="L27" s="2" t="s">
        <v>20</v>
      </c>
      <c r="M27" s="2" t="s">
        <v>15</v>
      </c>
    </row>
    <row r="28">
      <c r="A28" s="2" t="s">
        <v>84</v>
      </c>
      <c r="B28" s="2" t="s">
        <v>13</v>
      </c>
      <c r="C28" s="2" t="s">
        <v>85</v>
      </c>
      <c r="D28" s="2" t="str">
        <f>IFERROR(__xludf.DUMMYFUNCTION("""COMPUTED_VALUE"""),"Potatoes, Corn, Alliums, Sweeteners, Other")</f>
        <v>Potatoes, Corn, Alliums, Sweeteners, Other</v>
      </c>
      <c r="G28" s="2" t="s">
        <v>86</v>
      </c>
      <c r="I28" s="2" t="s">
        <v>70</v>
      </c>
      <c r="L28" s="2" t="s">
        <v>20</v>
      </c>
      <c r="M28" s="2" t="s">
        <v>15</v>
      </c>
    </row>
    <row r="29">
      <c r="A29" s="2" t="s">
        <v>87</v>
      </c>
      <c r="B29" s="2" t="s">
        <v>13</v>
      </c>
      <c r="C29" s="2" t="s">
        <v>88</v>
      </c>
      <c r="D29" s="2" t="str">
        <f>IFERROR(__xludf.DUMMYFUNCTION("""COMPUTED_VALUE"""),"Corn, Potatoes, Alliums, Dried Herbs &amp; Spices")</f>
        <v>Corn, Potatoes, Alliums, Dried Herbs &amp; Spices</v>
      </c>
      <c r="E29" s="2" t="s">
        <v>18</v>
      </c>
      <c r="G29" s="2" t="s">
        <v>89</v>
      </c>
      <c r="I29" s="2" t="s">
        <v>70</v>
      </c>
      <c r="K29" s="2" t="s">
        <v>27</v>
      </c>
    </row>
    <row r="30">
      <c r="A30" s="2" t="s">
        <v>90</v>
      </c>
      <c r="B30" s="2" t="s">
        <v>13</v>
      </c>
      <c r="C30" s="2" t="s">
        <v>91</v>
      </c>
      <c r="D30" s="2" t="str">
        <f>IFERROR(__xludf.DUMMYFUNCTION("""COMPUTED_VALUE"""),"Alliums")</f>
        <v>Alliums</v>
      </c>
      <c r="E30" s="2" t="s">
        <v>92</v>
      </c>
      <c r="I30" s="2" t="s">
        <v>70</v>
      </c>
    </row>
    <row r="31">
      <c r="A31" s="2" t="s">
        <v>93</v>
      </c>
      <c r="B31" s="2" t="s">
        <v>94</v>
      </c>
      <c r="C31" s="2" t="s">
        <v>95</v>
      </c>
      <c r="D31" s="2" t="str">
        <f>IFERROR(__xludf.DUMMYFUNCTION("""COMPUTED_VALUE"""),"Tree Nuts, Sweeteners")</f>
        <v>Tree Nuts, Sweeteners</v>
      </c>
      <c r="E31" s="2" t="s">
        <v>18</v>
      </c>
      <c r="H31" s="2" t="s">
        <v>44</v>
      </c>
      <c r="L31" s="2" t="s">
        <v>20</v>
      </c>
    </row>
    <row r="32">
      <c r="A32" s="2" t="s">
        <v>96</v>
      </c>
      <c r="B32" s="2" t="s">
        <v>13</v>
      </c>
      <c r="C32" s="2" t="s">
        <v>97</v>
      </c>
      <c r="D32" s="2" t="str">
        <f>IFERROR(__xludf.DUMMYFUNCTION("""COMPUTED_VALUE"""),"Soy, Sweeteners")</f>
        <v>Soy, Sweeteners</v>
      </c>
      <c r="E32" s="2" t="s">
        <v>18</v>
      </c>
      <c r="H32" s="2" t="s">
        <v>65</v>
      </c>
      <c r="L32" s="2" t="s">
        <v>20</v>
      </c>
    </row>
    <row r="33">
      <c r="A33" s="2" t="s">
        <v>98</v>
      </c>
      <c r="B33" s="2" t="s">
        <v>94</v>
      </c>
      <c r="C33" s="2" t="s">
        <v>99</v>
      </c>
      <c r="D33" s="2" t="str">
        <f>IFERROR(__xludf.DUMMYFUNCTION("""COMPUTED_VALUE"""),"Lactose-Free, Tree Nuts, Soy, Sweeteners")</f>
        <v>Lactose-Free, Tree Nuts, Soy, Sweeteners</v>
      </c>
      <c r="F33" s="2" t="s">
        <v>100</v>
      </c>
      <c r="H33" s="2" t="s">
        <v>101</v>
      </c>
      <c r="L33" s="2" t="s">
        <v>20</v>
      </c>
    </row>
    <row r="34">
      <c r="A34" s="2" t="s">
        <v>102</v>
      </c>
      <c r="B34" s="2" t="s">
        <v>13</v>
      </c>
      <c r="C34" s="2" t="s">
        <v>103</v>
      </c>
      <c r="D34" s="2" t="str">
        <f>IFERROR(__xludf.DUMMYFUNCTION("""COMPUTED_VALUE"""),"#N/A")</f>
        <v>#N/A</v>
      </c>
    </row>
    <row r="35">
      <c r="A35" s="2" t="s">
        <v>104</v>
      </c>
      <c r="B35" s="2" t="s">
        <v>13</v>
      </c>
      <c r="C35" s="2" t="s">
        <v>105</v>
      </c>
      <c r="D35" s="2" t="str">
        <f>IFERROR(__xludf.DUMMYFUNCTION("""COMPUTED_VALUE"""),"#N/A")</f>
        <v>#N/A</v>
      </c>
      <c r="E35" s="2" t="s">
        <v>30</v>
      </c>
    </row>
    <row r="36">
      <c r="A36" s="2" t="s">
        <v>106</v>
      </c>
      <c r="B36" s="2" t="s">
        <v>13</v>
      </c>
      <c r="C36" s="2" t="s">
        <v>107</v>
      </c>
      <c r="D36" s="2" t="str">
        <f>IFERROR(__xludf.DUMMYFUNCTION("""COMPUTED_VALUE"""),"#N/A")</f>
        <v>#N/A</v>
      </c>
      <c r="E36" s="2" t="s">
        <v>18</v>
      </c>
    </row>
    <row r="37">
      <c r="A37" s="2" t="s">
        <v>108</v>
      </c>
      <c r="B37" s="2" t="s">
        <v>13</v>
      </c>
      <c r="C37" s="2" t="s">
        <v>109</v>
      </c>
      <c r="D37" s="2" t="str">
        <f>IFERROR(__xludf.DUMMYFUNCTION("""COMPUTED_VALUE"""),"Wheat")</f>
        <v>Wheat</v>
      </c>
      <c r="E37" s="2" t="s">
        <v>18</v>
      </c>
      <c r="G37" s="2" t="s">
        <v>19</v>
      </c>
    </row>
    <row r="38">
      <c r="A38" s="2" t="s">
        <v>110</v>
      </c>
      <c r="B38" s="2" t="s">
        <v>13</v>
      </c>
      <c r="C38" s="2" t="s">
        <v>111</v>
      </c>
      <c r="D38" s="2" t="str">
        <f>IFERROR(__xludf.DUMMYFUNCTION("""COMPUTED_VALUE"""),"Alcohol")</f>
        <v>Alcohol</v>
      </c>
      <c r="L38" s="2" t="s">
        <v>112</v>
      </c>
    </row>
    <row r="39">
      <c r="A39" s="2" t="s">
        <v>113</v>
      </c>
      <c r="B39" s="2" t="s">
        <v>13</v>
      </c>
      <c r="C39" s="2" t="s">
        <v>114</v>
      </c>
      <c r="D39" s="2" t="str">
        <f>IFERROR(__xludf.DUMMYFUNCTION("""COMPUTED_VALUE"""),"Dried Herbs &amp; Spices, Sweeteners, Alcohol")</f>
        <v>Dried Herbs &amp; Spices, Sweeteners, Alcohol</v>
      </c>
      <c r="K39" s="2" t="s">
        <v>27</v>
      </c>
      <c r="L39" s="2" t="s">
        <v>115</v>
      </c>
    </row>
    <row r="40">
      <c r="A40" s="2" t="s">
        <v>116</v>
      </c>
      <c r="B40" s="2" t="s">
        <v>13</v>
      </c>
      <c r="C40" s="2" t="s">
        <v>117</v>
      </c>
      <c r="D40" s="2" t="str">
        <f>IFERROR(__xludf.DUMMYFUNCTION("""COMPUTED_VALUE"""),"Sweeteners")</f>
        <v>Sweeteners</v>
      </c>
      <c r="L40" s="2" t="s">
        <v>20</v>
      </c>
    </row>
    <row r="41">
      <c r="A41" s="2" t="s">
        <v>118</v>
      </c>
      <c r="B41" s="2" t="s">
        <v>13</v>
      </c>
      <c r="C41" s="2" t="s">
        <v>119</v>
      </c>
      <c r="D41" s="2" t="str">
        <f>IFERROR(__xludf.DUMMYFUNCTION("""COMPUTED_VALUE"""),"Alcohol")</f>
        <v>Alcohol</v>
      </c>
      <c r="L41" s="2" t="s">
        <v>112</v>
      </c>
    </row>
    <row r="42">
      <c r="A42" s="2" t="s">
        <v>120</v>
      </c>
      <c r="B42" s="2" t="s">
        <v>13</v>
      </c>
      <c r="C42" s="2" t="s">
        <v>121</v>
      </c>
      <c r="D42" s="2" t="str">
        <f>IFERROR(__xludf.DUMMYFUNCTION("""COMPUTED_VALUE"""),"Soy, Sweeteners")</f>
        <v>Soy, Sweeteners</v>
      </c>
      <c r="E42" s="2" t="s">
        <v>18</v>
      </c>
      <c r="H42" s="2" t="s">
        <v>65</v>
      </c>
      <c r="L42" s="2" t="s">
        <v>20</v>
      </c>
    </row>
    <row r="43">
      <c r="A43" s="2" t="s">
        <v>122</v>
      </c>
      <c r="B43" s="2" t="s">
        <v>13</v>
      </c>
      <c r="C43" s="2" t="s">
        <v>123</v>
      </c>
      <c r="D43" s="2" t="str">
        <f>IFERROR(__xludf.DUMMYFUNCTION("""COMPUTED_VALUE"""),"Wheat, Sweeteners")</f>
        <v>Wheat, Sweeteners</v>
      </c>
      <c r="G43" s="2" t="s">
        <v>19</v>
      </c>
      <c r="L43" s="2" t="s">
        <v>20</v>
      </c>
    </row>
    <row r="44">
      <c r="A44" s="2" t="s">
        <v>124</v>
      </c>
      <c r="B44" s="2" t="s">
        <v>13</v>
      </c>
      <c r="C44" s="2" t="s">
        <v>125</v>
      </c>
      <c r="D44" s="2" t="str">
        <f>IFERROR(__xludf.DUMMYFUNCTION("""COMPUTED_VALUE"""),"#N/A")</f>
        <v>#N/A</v>
      </c>
    </row>
    <row r="45">
      <c r="A45" s="2" t="s">
        <v>126</v>
      </c>
      <c r="B45" s="2" t="s">
        <v>13</v>
      </c>
      <c r="C45" s="2" t="s">
        <v>127</v>
      </c>
      <c r="D45" s="2" t="str">
        <f>IFERROR(__xludf.DUMMYFUNCTION("""COMPUTED_VALUE"""),"Citrus")</f>
        <v>Citrus</v>
      </c>
      <c r="J45" s="2" t="s">
        <v>128</v>
      </c>
    </row>
    <row r="46">
      <c r="A46" s="2" t="s">
        <v>129</v>
      </c>
      <c r="B46" s="2" t="s">
        <v>13</v>
      </c>
      <c r="C46" s="2" t="s">
        <v>130</v>
      </c>
      <c r="D46" s="2" t="str">
        <f>IFERROR(__xludf.DUMMYFUNCTION("""COMPUTED_VALUE"""),"#N/A")</f>
        <v>#N/A</v>
      </c>
    </row>
    <row r="47">
      <c r="A47" s="2" t="s">
        <v>131</v>
      </c>
      <c r="B47" s="2" t="s">
        <v>13</v>
      </c>
      <c r="C47" s="2" t="s">
        <v>132</v>
      </c>
      <c r="D47" s="2" t="str">
        <f>IFERROR(__xludf.DUMMYFUNCTION("""COMPUTED_VALUE"""),"Tropical Fruits")</f>
        <v>Tropical Fruits</v>
      </c>
      <c r="J47" s="2" t="s">
        <v>133</v>
      </c>
    </row>
    <row r="48">
      <c r="A48" s="2" t="s">
        <v>134</v>
      </c>
      <c r="B48" s="2" t="s">
        <v>13</v>
      </c>
      <c r="C48" s="2" t="s">
        <v>135</v>
      </c>
      <c r="D48" s="2" t="str">
        <f>IFERROR(__xludf.DUMMYFUNCTION("""COMPUTED_VALUE"""),"Dried Herbs &amp; Spices, Sweeteners, Alcohol")</f>
        <v>Dried Herbs &amp; Spices, Sweeteners, Alcohol</v>
      </c>
      <c r="K48" s="2" t="s">
        <v>27</v>
      </c>
      <c r="L48" s="2" t="s">
        <v>115</v>
      </c>
    </row>
    <row r="49">
      <c r="A49" s="2" t="s">
        <v>136</v>
      </c>
      <c r="B49" s="2" t="s">
        <v>13</v>
      </c>
      <c r="C49" s="2" t="s">
        <v>137</v>
      </c>
      <c r="D49" s="2" t="str">
        <f>IFERROR(__xludf.DUMMYFUNCTION("""COMPUTED_VALUE"""),"Sweeteners")</f>
        <v>Sweeteners</v>
      </c>
      <c r="L49" s="2" t="s">
        <v>20</v>
      </c>
    </row>
    <row r="50">
      <c r="A50" s="2" t="s">
        <v>138</v>
      </c>
      <c r="B50" s="2" t="s">
        <v>13</v>
      </c>
      <c r="C50" s="2" t="s">
        <v>139</v>
      </c>
      <c r="D50" s="2" t="str">
        <f>IFERROR(__xludf.DUMMYFUNCTION("""COMPUTED_VALUE"""),"Wheat, Fresh Herbs, Dried Herbs &amp; Spices")</f>
        <v>Wheat, Fresh Herbs, Dried Herbs &amp; Spices</v>
      </c>
      <c r="E50" s="2" t="s">
        <v>18</v>
      </c>
      <c r="G50" s="2" t="s">
        <v>19</v>
      </c>
      <c r="K50" s="2" t="s">
        <v>140</v>
      </c>
    </row>
    <row r="51">
      <c r="A51" s="2" t="s">
        <v>141</v>
      </c>
      <c r="B51" s="2" t="s">
        <v>13</v>
      </c>
      <c r="C51" s="2" t="s">
        <v>142</v>
      </c>
      <c r="D51" s="2" t="str">
        <f>IFERROR(__xludf.DUMMYFUNCTION("""COMPUTED_VALUE"""),"Sweeteners")</f>
        <v>Sweeteners</v>
      </c>
      <c r="L51" s="2" t="s">
        <v>20</v>
      </c>
    </row>
    <row r="52">
      <c r="A52" s="2" t="s">
        <v>143</v>
      </c>
      <c r="B52" s="2" t="s">
        <v>13</v>
      </c>
      <c r="C52" s="2" t="s">
        <v>144</v>
      </c>
      <c r="D52" s="2" t="str">
        <f>IFERROR(__xludf.DUMMYFUNCTION("""COMPUTED_VALUE"""),"Sweeteners")</f>
        <v>Sweeteners</v>
      </c>
      <c r="L52" s="2" t="s">
        <v>20</v>
      </c>
    </row>
    <row r="53">
      <c r="A53" s="2" t="s">
        <v>145</v>
      </c>
      <c r="B53" s="2" t="s">
        <v>13</v>
      </c>
      <c r="C53" s="2" t="s">
        <v>146</v>
      </c>
      <c r="D53" s="2" t="str">
        <f>IFERROR(__xludf.DUMMYFUNCTION("""COMPUTED_VALUE"""),"Stone Fruits, Sweeteners")</f>
        <v>Stone Fruits, Sweeteners</v>
      </c>
      <c r="J53" s="2" t="s">
        <v>147</v>
      </c>
      <c r="L53" s="2" t="s">
        <v>20</v>
      </c>
    </row>
    <row r="54">
      <c r="A54" s="2" t="s">
        <v>148</v>
      </c>
      <c r="B54" s="2" t="s">
        <v>13</v>
      </c>
      <c r="C54" s="2" t="s">
        <v>149</v>
      </c>
      <c r="D54" s="2" t="str">
        <f>IFERROR(__xludf.DUMMYFUNCTION("""COMPUTED_VALUE"""),"Soy, Other")</f>
        <v>Soy, Other</v>
      </c>
      <c r="E54" s="2" t="s">
        <v>18</v>
      </c>
      <c r="H54" s="2" t="s">
        <v>65</v>
      </c>
      <c r="M54" s="2" t="s">
        <v>15</v>
      </c>
    </row>
    <row r="55">
      <c r="A55" s="2" t="s">
        <v>150</v>
      </c>
      <c r="B55" s="2" t="s">
        <v>13</v>
      </c>
      <c r="C55" s="2" t="s">
        <v>151</v>
      </c>
      <c r="D55" s="2" t="str">
        <f>IFERROR(__xludf.DUMMYFUNCTION("""COMPUTED_VALUE"""),"Soy, Other")</f>
        <v>Soy, Other</v>
      </c>
      <c r="H55" s="2" t="s">
        <v>65</v>
      </c>
      <c r="M55" s="2" t="s">
        <v>15</v>
      </c>
    </row>
    <row r="56">
      <c r="A56" s="2" t="s">
        <v>152</v>
      </c>
      <c r="B56" s="2" t="s">
        <v>13</v>
      </c>
      <c r="C56" s="2" t="s">
        <v>153</v>
      </c>
      <c r="D56" s="2" t="str">
        <f>IFERROR(__xludf.DUMMYFUNCTION("""COMPUTED_VALUE"""),"Corn, Other")</f>
        <v>Corn, Other</v>
      </c>
      <c r="E56" s="2" t="s">
        <v>18</v>
      </c>
      <c r="G56" s="2" t="s">
        <v>41</v>
      </c>
      <c r="M56" s="2" t="s">
        <v>15</v>
      </c>
    </row>
    <row r="57">
      <c r="A57" s="2" t="s">
        <v>154</v>
      </c>
      <c r="B57" s="2" t="s">
        <v>13</v>
      </c>
      <c r="C57" s="2" t="s">
        <v>155</v>
      </c>
      <c r="D57" s="2" t="str">
        <f>IFERROR(__xludf.DUMMYFUNCTION("""COMPUTED_VALUE"""),"Corn, Soy, Other")</f>
        <v>Corn, Soy, Other</v>
      </c>
      <c r="G57" s="2" t="s">
        <v>41</v>
      </c>
      <c r="H57" s="2" t="s">
        <v>65</v>
      </c>
      <c r="M57" s="2" t="s">
        <v>15</v>
      </c>
    </row>
    <row r="58">
      <c r="A58" s="2" t="s">
        <v>156</v>
      </c>
      <c r="B58" s="2" t="s">
        <v>13</v>
      </c>
      <c r="C58" s="2" t="s">
        <v>157</v>
      </c>
      <c r="D58" s="2" t="str">
        <f>IFERROR(__xludf.DUMMYFUNCTION("""COMPUTED_VALUE"""),"Alliums, Nightshades, Dried Herbs &amp; Spices, Fresh Herbs")</f>
        <v>Alliums, Nightshades, Dried Herbs &amp; Spices, Fresh Herbs</v>
      </c>
      <c r="I58" s="2" t="s">
        <v>158</v>
      </c>
      <c r="K58" s="2" t="s">
        <v>159</v>
      </c>
    </row>
    <row r="59">
      <c r="A59" s="2" t="s">
        <v>160</v>
      </c>
      <c r="B59" s="2" t="s">
        <v>13</v>
      </c>
      <c r="C59" s="2" t="s">
        <v>161</v>
      </c>
      <c r="D59" s="2" t="str">
        <f>IFERROR(__xludf.DUMMYFUNCTION("""COMPUTED_VALUE"""),"Nightshades, Alliums, Dried Herbs &amp; Spices")</f>
        <v>Nightshades, Alliums, Dried Herbs &amp; Spices</v>
      </c>
      <c r="I59" s="2" t="s">
        <v>57</v>
      </c>
      <c r="K59" s="2" t="s">
        <v>27</v>
      </c>
    </row>
    <row r="60">
      <c r="A60" s="2" t="s">
        <v>162</v>
      </c>
      <c r="B60" s="2" t="s">
        <v>94</v>
      </c>
      <c r="C60" s="2" t="s">
        <v>163</v>
      </c>
      <c r="D60" s="2" t="str">
        <f>IFERROR(__xludf.DUMMYFUNCTION("""COMPUTED_VALUE"""),"Soy, Alliums, Dried Herbs &amp; Spices, Sweeteners")</f>
        <v>Soy, Alliums, Dried Herbs &amp; Spices, Sweeteners</v>
      </c>
      <c r="H60" s="2" t="s">
        <v>65</v>
      </c>
      <c r="I60" s="2" t="s">
        <v>70</v>
      </c>
      <c r="K60" s="2" t="s">
        <v>27</v>
      </c>
      <c r="L60" s="2" t="s">
        <v>20</v>
      </c>
    </row>
    <row r="61">
      <c r="A61" s="2" t="s">
        <v>164</v>
      </c>
      <c r="B61" s="2" t="s">
        <v>13</v>
      </c>
      <c r="C61" s="2" t="s">
        <v>165</v>
      </c>
      <c r="D61" s="2" t="str">
        <f>IFERROR(__xludf.DUMMYFUNCTION("""COMPUTED_VALUE"""),"Dried Herbs &amp; Spices")</f>
        <v>Dried Herbs &amp; Spices</v>
      </c>
      <c r="K61" s="2" t="s">
        <v>27</v>
      </c>
    </row>
    <row r="62">
      <c r="A62" s="2" t="s">
        <v>166</v>
      </c>
      <c r="B62" s="2" t="s">
        <v>13</v>
      </c>
      <c r="C62" s="2" t="s">
        <v>167</v>
      </c>
      <c r="D62" s="2" t="str">
        <f>IFERROR(__xludf.DUMMYFUNCTION("""COMPUTED_VALUE"""),"Dried Herbs &amp; Spices")</f>
        <v>Dried Herbs &amp; Spices</v>
      </c>
      <c r="K62" s="2" t="s">
        <v>27</v>
      </c>
    </row>
    <row r="63">
      <c r="A63" s="2" t="s">
        <v>168</v>
      </c>
      <c r="B63" s="2" t="s">
        <v>13</v>
      </c>
      <c r="C63" s="2" t="s">
        <v>169</v>
      </c>
      <c r="D63" s="2" t="str">
        <f>IFERROR(__xludf.DUMMYFUNCTION("""COMPUTED_VALUE"""),"Citrus, Sweeteners, Other")</f>
        <v>Citrus, Sweeteners, Other</v>
      </c>
      <c r="J63" s="2" t="s">
        <v>128</v>
      </c>
      <c r="L63" s="2" t="s">
        <v>20</v>
      </c>
      <c r="M63" s="2" t="s">
        <v>15</v>
      </c>
    </row>
    <row r="64">
      <c r="A64" s="2" t="s">
        <v>170</v>
      </c>
      <c r="B64" s="2" t="s">
        <v>13</v>
      </c>
      <c r="C64" s="2" t="s">
        <v>171</v>
      </c>
      <c r="D64" s="2" t="str">
        <f>IFERROR(__xludf.DUMMYFUNCTION("""COMPUTED_VALUE"""),"Dried Herbs &amp; Spices, Sweeteners")</f>
        <v>Dried Herbs &amp; Spices, Sweeteners</v>
      </c>
      <c r="K64" s="2" t="s">
        <v>27</v>
      </c>
      <c r="L64" s="2" t="s">
        <v>20</v>
      </c>
    </row>
    <row r="65">
      <c r="A65" s="2" t="s">
        <v>172</v>
      </c>
      <c r="B65" s="2" t="s">
        <v>13</v>
      </c>
      <c r="C65" s="2" t="s">
        <v>173</v>
      </c>
      <c r="D65" s="2" t="str">
        <f>IFERROR(__xludf.DUMMYFUNCTION("""COMPUTED_VALUE"""),"Sweeteners, Other")</f>
        <v>Sweeteners, Other</v>
      </c>
      <c r="L65" s="2" t="s">
        <v>20</v>
      </c>
      <c r="M65" s="2" t="s">
        <v>15</v>
      </c>
    </row>
    <row r="66">
      <c r="A66" s="2" t="s">
        <v>174</v>
      </c>
      <c r="B66" s="2" t="s">
        <v>13</v>
      </c>
      <c r="C66" s="2" t="s">
        <v>175</v>
      </c>
      <c r="D66" s="2" t="str">
        <f>IFERROR(__xludf.DUMMYFUNCTION("""COMPUTED_VALUE"""),"Wheat, Soy, Sweeteners, Other")</f>
        <v>Wheat, Soy, Sweeteners, Other</v>
      </c>
      <c r="E66" s="2" t="s">
        <v>18</v>
      </c>
      <c r="G66" s="2" t="s">
        <v>19</v>
      </c>
      <c r="H66" s="2" t="s">
        <v>65</v>
      </c>
      <c r="L66" s="2" t="s">
        <v>20</v>
      </c>
      <c r="M66" s="2" t="s">
        <v>15</v>
      </c>
    </row>
    <row r="67">
      <c r="A67" s="2" t="s">
        <v>176</v>
      </c>
      <c r="B67" s="2" t="s">
        <v>13</v>
      </c>
      <c r="C67" s="2" t="s">
        <v>177</v>
      </c>
      <c r="D67" s="2" t="str">
        <f>IFERROR(__xludf.DUMMYFUNCTION("""COMPUTED_VALUE"""),"Corn, Other")</f>
        <v>Corn, Other</v>
      </c>
      <c r="G67" s="2" t="s">
        <v>41</v>
      </c>
      <c r="M67" s="2" t="s">
        <v>15</v>
      </c>
    </row>
    <row r="68">
      <c r="A68" s="2" t="s">
        <v>178</v>
      </c>
      <c r="B68" s="2" t="s">
        <v>13</v>
      </c>
      <c r="C68" s="2" t="s">
        <v>179</v>
      </c>
      <c r="D68" s="2" t="str">
        <f>IFERROR(__xludf.DUMMYFUNCTION("""COMPUTED_VALUE"""),"Corn, Corn, Other")</f>
        <v>Corn, Corn, Other</v>
      </c>
      <c r="G68" s="2" t="s">
        <v>180</v>
      </c>
      <c r="M68" s="2" t="s">
        <v>15</v>
      </c>
    </row>
    <row r="69">
      <c r="A69" s="2" t="s">
        <v>181</v>
      </c>
      <c r="B69" s="2" t="s">
        <v>13</v>
      </c>
      <c r="C69" s="2" t="s">
        <v>182</v>
      </c>
      <c r="D69" s="2" t="str">
        <f>IFERROR(__xludf.DUMMYFUNCTION("""COMPUTED_VALUE"""),"Dried Herbs &amp; Spices")</f>
        <v>Dried Herbs &amp; Spices</v>
      </c>
      <c r="K69" s="2" t="s">
        <v>27</v>
      </c>
    </row>
    <row r="70">
      <c r="A70" s="2" t="s">
        <v>183</v>
      </c>
      <c r="B70" s="2" t="s">
        <v>13</v>
      </c>
      <c r="C70" s="2" t="s">
        <v>184</v>
      </c>
      <c r="D70" s="2" t="str">
        <f>IFERROR(__xludf.DUMMYFUNCTION("""COMPUTED_VALUE"""),"#N/A")</f>
        <v>#N/A</v>
      </c>
      <c r="E70" s="2" t="s">
        <v>18</v>
      </c>
    </row>
    <row r="71">
      <c r="A71" s="2" t="s">
        <v>185</v>
      </c>
      <c r="B71" s="2" t="s">
        <v>94</v>
      </c>
      <c r="C71" s="2" t="s">
        <v>186</v>
      </c>
      <c r="D71" s="2" t="str">
        <f>IFERROR(__xludf.DUMMYFUNCTION("""COMPUTED_VALUE"""),"Tropical Fruits")</f>
        <v>Tropical Fruits</v>
      </c>
      <c r="J71" s="2" t="s">
        <v>133</v>
      </c>
    </row>
    <row r="72">
      <c r="A72" s="2" t="s">
        <v>187</v>
      </c>
      <c r="B72" s="2" t="s">
        <v>13</v>
      </c>
      <c r="C72" s="2" t="s">
        <v>188</v>
      </c>
      <c r="D72" s="2" t="str">
        <f>IFERROR(__xludf.DUMMYFUNCTION("""COMPUTED_VALUE"""),"Potatoes")</f>
        <v>Potatoes</v>
      </c>
      <c r="E72" s="2" t="s">
        <v>18</v>
      </c>
      <c r="G72" s="2" t="s">
        <v>189</v>
      </c>
    </row>
    <row r="73">
      <c r="A73" s="2" t="s">
        <v>190</v>
      </c>
      <c r="B73" s="2" t="s">
        <v>13</v>
      </c>
      <c r="C73" s="2" t="s">
        <v>191</v>
      </c>
      <c r="D73" s="2" t="str">
        <f>IFERROR(__xludf.DUMMYFUNCTION("""COMPUTED_VALUE"""),"#N/A")</f>
        <v>#N/A</v>
      </c>
      <c r="E73" s="2" t="s">
        <v>18</v>
      </c>
    </row>
    <row r="74">
      <c r="A74" s="2" t="s">
        <v>192</v>
      </c>
      <c r="B74" s="2" t="s">
        <v>13</v>
      </c>
      <c r="C74" s="2" t="s">
        <v>193</v>
      </c>
      <c r="D74" s="2" t="str">
        <f>IFERROR(__xludf.DUMMYFUNCTION("""COMPUTED_VALUE"""),"Wheat, Nightshades, Alliums, Sweeteners")</f>
        <v>Wheat, Nightshades, Alliums, Sweeteners</v>
      </c>
      <c r="G74" s="2" t="s">
        <v>19</v>
      </c>
      <c r="I74" s="2" t="s">
        <v>57</v>
      </c>
      <c r="L74" s="2" t="s">
        <v>20</v>
      </c>
    </row>
    <row r="75">
      <c r="A75" s="2" t="s">
        <v>194</v>
      </c>
      <c r="B75" s="2" t="s">
        <v>13</v>
      </c>
      <c r="C75" s="2" t="s">
        <v>195</v>
      </c>
      <c r="D75" s="2" t="str">
        <f>IFERROR(__xludf.DUMMYFUNCTION("""COMPUTED_VALUE"""),"Nightshades, Alliums, Spicy")</f>
        <v>Nightshades, Alliums, Spicy</v>
      </c>
      <c r="I75" s="2" t="s">
        <v>57</v>
      </c>
      <c r="K75" s="2" t="s">
        <v>74</v>
      </c>
    </row>
    <row r="76">
      <c r="A76" s="2" t="s">
        <v>196</v>
      </c>
      <c r="B76" s="2" t="s">
        <v>94</v>
      </c>
      <c r="C76" s="2" t="s">
        <v>197</v>
      </c>
      <c r="D76" s="2" t="str">
        <f>IFERROR(__xludf.DUMMYFUNCTION("""COMPUTED_VALUE"""),"Wheat, Alliums, Dried Herbs &amp; Spices, Sweeteners")</f>
        <v>Wheat, Alliums, Dried Herbs &amp; Spices, Sweeteners</v>
      </c>
      <c r="E76" s="2" t="s">
        <v>18</v>
      </c>
      <c r="G76" s="2" t="s">
        <v>19</v>
      </c>
      <c r="I76" s="2" t="s">
        <v>70</v>
      </c>
      <c r="K76" s="2" t="s">
        <v>27</v>
      </c>
      <c r="L76" s="2" t="s">
        <v>20</v>
      </c>
    </row>
    <row r="77">
      <c r="A77" s="2" t="s">
        <v>198</v>
      </c>
      <c r="B77" s="2" t="s">
        <v>94</v>
      </c>
      <c r="C77" s="2" t="s">
        <v>199</v>
      </c>
      <c r="D77" s="2" t="str">
        <f>IFERROR(__xludf.DUMMYFUNCTION("""COMPUTED_VALUE"""),"Wheat, Corn, Soy, Alliums, Nightshades, Dried Herbs &amp; Spices, Spicy, Sweeteners")</f>
        <v>Wheat, Corn, Soy, Alliums, Nightshades, Dried Herbs &amp; Spices, Spicy, Sweeteners</v>
      </c>
      <c r="G77" s="2" t="s">
        <v>200</v>
      </c>
      <c r="H77" s="2" t="s">
        <v>65</v>
      </c>
      <c r="I77" s="2" t="s">
        <v>158</v>
      </c>
      <c r="K77" s="2" t="s">
        <v>71</v>
      </c>
      <c r="L77" s="2" t="s">
        <v>20</v>
      </c>
    </row>
    <row r="78">
      <c r="A78" s="2" t="s">
        <v>201</v>
      </c>
      <c r="B78" s="2" t="s">
        <v>13</v>
      </c>
      <c r="C78" s="2" t="s">
        <v>202</v>
      </c>
      <c r="D78" s="2" t="str">
        <f>IFERROR(__xludf.DUMMYFUNCTION("""COMPUTED_VALUE"""),"Corn, Wheat, Mushrooms, Alliums, Spicy, Sweeteners")</f>
        <v>Corn, Wheat, Mushrooms, Alliums, Spicy, Sweeteners</v>
      </c>
      <c r="E78" s="2" t="s">
        <v>18</v>
      </c>
      <c r="G78" s="2" t="s">
        <v>203</v>
      </c>
      <c r="I78" s="2" t="s">
        <v>204</v>
      </c>
      <c r="K78" s="2" t="s">
        <v>74</v>
      </c>
      <c r="L78" s="2" t="s">
        <v>20</v>
      </c>
    </row>
    <row r="79">
      <c r="A79" s="2" t="s">
        <v>205</v>
      </c>
      <c r="B79" s="2" t="s">
        <v>13</v>
      </c>
      <c r="C79" s="2" t="s">
        <v>206</v>
      </c>
      <c r="D79" s="2" t="str">
        <f>IFERROR(__xludf.DUMMYFUNCTION("""COMPUTED_VALUE"""),"Alliums, Fresh Herbs, Spicy")</f>
        <v>Alliums, Fresh Herbs, Spicy</v>
      </c>
      <c r="E79" s="2" t="s">
        <v>92</v>
      </c>
      <c r="I79" s="2" t="s">
        <v>70</v>
      </c>
      <c r="K79" s="2" t="s">
        <v>207</v>
      </c>
    </row>
    <row r="80">
      <c r="A80" s="2" t="s">
        <v>208</v>
      </c>
      <c r="B80" s="2" t="s">
        <v>13</v>
      </c>
      <c r="C80" s="2" t="s">
        <v>209</v>
      </c>
      <c r="D80" s="2" t="str">
        <f>IFERROR(__xludf.DUMMYFUNCTION("""COMPUTED_VALUE"""),"Corn, Soy, Nightshades, Alliums, Sweeteners")</f>
        <v>Corn, Soy, Nightshades, Alliums, Sweeteners</v>
      </c>
      <c r="E80" s="2" t="s">
        <v>18</v>
      </c>
      <c r="G80" s="2" t="s">
        <v>41</v>
      </c>
      <c r="H80" s="2" t="s">
        <v>65</v>
      </c>
      <c r="I80" s="2" t="s">
        <v>57</v>
      </c>
      <c r="L80" s="2" t="s">
        <v>20</v>
      </c>
    </row>
    <row r="81">
      <c r="A81" s="2" t="s">
        <v>210</v>
      </c>
      <c r="B81" s="2" t="s">
        <v>13</v>
      </c>
      <c r="C81" s="2" t="s">
        <v>211</v>
      </c>
      <c r="D81" s="2" t="str">
        <f>IFERROR(__xludf.DUMMYFUNCTION("""COMPUTED_VALUE"""),"Alliums, Dried Herbs &amp; Spices, Spicy, Other")</f>
        <v>Alliums, Dried Herbs &amp; Spices, Spicy, Other</v>
      </c>
      <c r="I81" s="2" t="s">
        <v>70</v>
      </c>
      <c r="K81" s="2" t="s">
        <v>71</v>
      </c>
      <c r="M81" s="2" t="s">
        <v>15</v>
      </c>
    </row>
    <row r="82">
      <c r="A82" s="2" t="s">
        <v>212</v>
      </c>
      <c r="B82" s="2" t="s">
        <v>13</v>
      </c>
      <c r="C82" s="2" t="s">
        <v>213</v>
      </c>
      <c r="D82" s="2" t="str">
        <f>IFERROR(__xludf.DUMMYFUNCTION("""COMPUTED_VALUE"""),"Wheat, Nightshades, Alliums, Fresh Herbs, Dried Herbs &amp; Spices, Spicy, Sweeteners")</f>
        <v>Wheat, Nightshades, Alliums, Fresh Herbs, Dried Herbs &amp; Spices, Spicy, Sweeteners</v>
      </c>
      <c r="G82" s="2" t="s">
        <v>19</v>
      </c>
      <c r="I82" s="2" t="s">
        <v>57</v>
      </c>
      <c r="K82" s="2" t="s">
        <v>214</v>
      </c>
      <c r="L82" s="2" t="s">
        <v>20</v>
      </c>
    </row>
    <row r="83">
      <c r="A83" s="2" t="s">
        <v>215</v>
      </c>
      <c r="B83" s="2" t="s">
        <v>13</v>
      </c>
      <c r="C83" s="2" t="s">
        <v>216</v>
      </c>
      <c r="D83" s="2" t="str">
        <f>IFERROR(__xludf.DUMMYFUNCTION("""COMPUTED_VALUE"""),"Wheat, Soy, Alliums, Sweeteners")</f>
        <v>Wheat, Soy, Alliums, Sweeteners</v>
      </c>
      <c r="G83" s="2" t="s">
        <v>19</v>
      </c>
      <c r="H83" s="2" t="s">
        <v>65</v>
      </c>
      <c r="I83" s="2" t="s">
        <v>70</v>
      </c>
      <c r="L83" s="2" t="s">
        <v>20</v>
      </c>
    </row>
    <row r="84">
      <c r="A84" s="2" t="s">
        <v>217</v>
      </c>
      <c r="B84" s="2" t="s">
        <v>13</v>
      </c>
      <c r="C84" s="2" t="s">
        <v>218</v>
      </c>
      <c r="D84" s="2" t="str">
        <f>IFERROR(__xludf.DUMMYFUNCTION("""COMPUTED_VALUE"""),"Wheat, Alliums, Nightshades, Fresh Herbs, Dried Herbs &amp; Spices, Spicy")</f>
        <v>Wheat, Alliums, Nightshades, Fresh Herbs, Dried Herbs &amp; Spices, Spicy</v>
      </c>
      <c r="G84" s="2" t="s">
        <v>19</v>
      </c>
      <c r="I84" s="2" t="s">
        <v>158</v>
      </c>
      <c r="K84" s="2" t="s">
        <v>214</v>
      </c>
    </row>
    <row r="85">
      <c r="A85" s="2" t="s">
        <v>219</v>
      </c>
      <c r="B85" s="2" t="s">
        <v>13</v>
      </c>
      <c r="C85" s="2" t="s">
        <v>220</v>
      </c>
      <c r="D85" s="2" t="str">
        <f>IFERROR(__xludf.DUMMYFUNCTION("""COMPUTED_VALUE"""),"Soy, Alliums, Nightshades, Sweeteners, Other")</f>
        <v>Soy, Alliums, Nightshades, Sweeteners, Other</v>
      </c>
      <c r="H85" s="2" t="s">
        <v>65</v>
      </c>
      <c r="I85" s="2" t="s">
        <v>158</v>
      </c>
      <c r="L85" s="2" t="s">
        <v>20</v>
      </c>
      <c r="M85" s="2" t="s">
        <v>15</v>
      </c>
    </row>
    <row r="86">
      <c r="A86" s="2" t="s">
        <v>221</v>
      </c>
      <c r="B86" s="2" t="s">
        <v>94</v>
      </c>
      <c r="C86" s="2" t="s">
        <v>222</v>
      </c>
      <c r="D86" s="2" t="str">
        <f>IFERROR(__xludf.DUMMYFUNCTION("""COMPUTED_VALUE"""),"Wheat, Corn, Soy, Peanuts, Alliums, Dried Herbs &amp; Spices, Sweeteners")</f>
        <v>Wheat, Corn, Soy, Peanuts, Alliums, Dried Herbs &amp; Spices, Sweeteners</v>
      </c>
      <c r="G86" s="2" t="s">
        <v>200</v>
      </c>
      <c r="H86" s="2" t="s">
        <v>223</v>
      </c>
      <c r="I86" s="2" t="s">
        <v>70</v>
      </c>
      <c r="K86" s="2" t="s">
        <v>27</v>
      </c>
      <c r="L86" s="2" t="s">
        <v>20</v>
      </c>
    </row>
    <row r="87">
      <c r="A87" s="2" t="s">
        <v>224</v>
      </c>
      <c r="B87" s="2" t="s">
        <v>13</v>
      </c>
      <c r="C87" s="2" t="s">
        <v>225</v>
      </c>
      <c r="D87" s="2" t="str">
        <f>IFERROR(__xludf.DUMMYFUNCTION("""COMPUTED_VALUE"""),"Alliums, Spicy, Dried Herbs &amp; Spices, Fresh Herbs, Sweeteners")</f>
        <v>Alliums, Spicy, Dried Herbs &amp; Spices, Fresh Herbs, Sweeteners</v>
      </c>
      <c r="I87" s="2" t="s">
        <v>70</v>
      </c>
      <c r="K87" s="2" t="s">
        <v>226</v>
      </c>
      <c r="L87" s="2" t="s">
        <v>20</v>
      </c>
    </row>
    <row r="88">
      <c r="A88" s="2" t="s">
        <v>227</v>
      </c>
      <c r="B88" s="2" t="s">
        <v>13</v>
      </c>
      <c r="C88" s="2" t="s">
        <v>228</v>
      </c>
      <c r="D88" s="2" t="str">
        <f>IFERROR(__xludf.DUMMYFUNCTION("""COMPUTED_VALUE"""),"Alliums, Spicy, Dried Herbs &amp; Spices, Fresh Herbs, Sweeteners")</f>
        <v>Alliums, Spicy, Dried Herbs &amp; Spices, Fresh Herbs, Sweeteners</v>
      </c>
      <c r="I88" s="2" t="s">
        <v>70</v>
      </c>
      <c r="K88" s="2" t="s">
        <v>226</v>
      </c>
      <c r="L88" s="2" t="s">
        <v>20</v>
      </c>
    </row>
    <row r="89">
      <c r="A89" s="2" t="s">
        <v>229</v>
      </c>
      <c r="B89" s="2" t="s">
        <v>13</v>
      </c>
      <c r="C89" s="2" t="s">
        <v>230</v>
      </c>
      <c r="D89" s="2" t="str">
        <f>IFERROR(__xludf.DUMMYFUNCTION("""COMPUTED_VALUE"""),"Alliums, Spicy, Dried Herbs &amp; Spices, Sweeteners, Other")</f>
        <v>Alliums, Spicy, Dried Herbs &amp; Spices, Sweeteners, Other</v>
      </c>
      <c r="I89" s="2" t="s">
        <v>70</v>
      </c>
      <c r="K89" s="2" t="s">
        <v>231</v>
      </c>
      <c r="L89" s="2" t="s">
        <v>20</v>
      </c>
      <c r="M89" s="2" t="s">
        <v>15</v>
      </c>
    </row>
    <row r="90">
      <c r="A90" s="2" t="s">
        <v>232</v>
      </c>
      <c r="B90" s="2" t="s">
        <v>13</v>
      </c>
      <c r="C90" s="2" t="s">
        <v>233</v>
      </c>
      <c r="D90" s="2" t="str">
        <f>IFERROR(__xludf.DUMMYFUNCTION("""COMPUTED_VALUE"""),"Wheat, Corn, Nightshades, Alliums, Dried Herbs &amp; Spices, Sweeteners")</f>
        <v>Wheat, Corn, Nightshades, Alliums, Dried Herbs &amp; Spices, Sweeteners</v>
      </c>
      <c r="G90" s="2" t="s">
        <v>200</v>
      </c>
      <c r="I90" s="2" t="s">
        <v>57</v>
      </c>
      <c r="K90" s="2" t="s">
        <v>27</v>
      </c>
      <c r="L90" s="2" t="s">
        <v>20</v>
      </c>
    </row>
    <row r="91">
      <c r="A91" s="2" t="s">
        <v>234</v>
      </c>
      <c r="B91" s="2" t="s">
        <v>13</v>
      </c>
      <c r="C91" s="2" t="s">
        <v>235</v>
      </c>
      <c r="D91" s="2" t="str">
        <f>IFERROR(__xludf.DUMMYFUNCTION("""COMPUTED_VALUE"""),"Wheat, Nightshades, Alliums, Dried Herbs &amp; Spices, Sweeteners, Other")</f>
        <v>Wheat, Nightshades, Alliums, Dried Herbs &amp; Spices, Sweeteners, Other</v>
      </c>
      <c r="G91" s="2" t="s">
        <v>19</v>
      </c>
      <c r="I91" s="2" t="s">
        <v>57</v>
      </c>
      <c r="K91" s="2" t="s">
        <v>27</v>
      </c>
      <c r="L91" s="2" t="s">
        <v>20</v>
      </c>
      <c r="M91" s="2" t="s">
        <v>15</v>
      </c>
    </row>
    <row r="92">
      <c r="A92" s="2" t="s">
        <v>236</v>
      </c>
      <c r="B92" s="2" t="s">
        <v>13</v>
      </c>
      <c r="C92" s="2" t="s">
        <v>237</v>
      </c>
      <c r="D92" s="2" t="str">
        <f>IFERROR(__xludf.DUMMYFUNCTION("""COMPUTED_VALUE"""),"Soy, Nightshades, Alliums, Spicy, Dried Herbs &amp; Spices, Sweeteners")</f>
        <v>Soy, Nightshades, Alliums, Spicy, Dried Herbs &amp; Spices, Sweeteners</v>
      </c>
      <c r="E92" s="2" t="s">
        <v>18</v>
      </c>
      <c r="H92" s="2" t="s">
        <v>65</v>
      </c>
      <c r="I92" s="2" t="s">
        <v>57</v>
      </c>
      <c r="K92" s="2" t="s">
        <v>231</v>
      </c>
      <c r="L92" s="2" t="s">
        <v>20</v>
      </c>
    </row>
    <row r="93">
      <c r="A93" s="2" t="s">
        <v>238</v>
      </c>
      <c r="B93" s="2" t="s">
        <v>13</v>
      </c>
      <c r="C93" s="2" t="s">
        <v>239</v>
      </c>
      <c r="D93" s="2" t="str">
        <f>IFERROR(__xludf.DUMMYFUNCTION("""COMPUTED_VALUE"""),"Tree Nuts, Alliums, Tropical Fruits, Spicy, Dried Herbs &amp; Spices, Sweeteners")</f>
        <v>Tree Nuts, Alliums, Tropical Fruits, Spicy, Dried Herbs &amp; Spices, Sweeteners</v>
      </c>
      <c r="H93" s="2" t="s">
        <v>44</v>
      </c>
      <c r="I93" s="2" t="s">
        <v>70</v>
      </c>
      <c r="J93" s="2" t="s">
        <v>133</v>
      </c>
      <c r="K93" s="2" t="s">
        <v>231</v>
      </c>
      <c r="L93" s="2" t="s">
        <v>20</v>
      </c>
    </row>
    <row r="94">
      <c r="A94" s="2" t="s">
        <v>240</v>
      </c>
      <c r="B94" s="2" t="s">
        <v>13</v>
      </c>
      <c r="C94" s="2" t="s">
        <v>241</v>
      </c>
      <c r="D94" s="2" t="str">
        <f>IFERROR(__xludf.DUMMYFUNCTION("""COMPUTED_VALUE"""),"Wheat, Nightshades, Alliums, Dried Herbs &amp; Spices, Sweeteners, Other")</f>
        <v>Wheat, Nightshades, Alliums, Dried Herbs &amp; Spices, Sweeteners, Other</v>
      </c>
      <c r="G94" s="2" t="s">
        <v>19</v>
      </c>
      <c r="I94" s="2" t="s">
        <v>57</v>
      </c>
      <c r="K94" s="2" t="s">
        <v>27</v>
      </c>
      <c r="L94" s="2" t="s">
        <v>20</v>
      </c>
      <c r="M94" s="2" t="s">
        <v>15</v>
      </c>
    </row>
    <row r="95">
      <c r="A95" s="2" t="s">
        <v>242</v>
      </c>
      <c r="B95" s="2" t="s">
        <v>13</v>
      </c>
      <c r="C95" s="2" t="s">
        <v>243</v>
      </c>
      <c r="D95" s="2" t="str">
        <f>IFERROR(__xludf.DUMMYFUNCTION("""COMPUTED_VALUE"""),"Soy, Nightshades, Alliums, Spicy, Dried Herbs &amp; Spices, Sweeteners")</f>
        <v>Soy, Nightshades, Alliums, Spicy, Dried Herbs &amp; Spices, Sweeteners</v>
      </c>
      <c r="E95" s="2" t="s">
        <v>244</v>
      </c>
      <c r="H95" s="2" t="s">
        <v>65</v>
      </c>
      <c r="I95" s="2" t="s">
        <v>57</v>
      </c>
      <c r="K95" s="2" t="s">
        <v>231</v>
      </c>
      <c r="L95" s="2" t="s">
        <v>20</v>
      </c>
    </row>
    <row r="96">
      <c r="A96" s="2" t="s">
        <v>245</v>
      </c>
      <c r="B96" s="2" t="s">
        <v>13</v>
      </c>
      <c r="C96" s="2" t="s">
        <v>246</v>
      </c>
      <c r="D96" s="2" t="str">
        <f>IFERROR(__xludf.DUMMYFUNCTION("""COMPUTED_VALUE"""),"Nightshades, Alliums, Dried Herbs &amp; Spices, Sweeteners")</f>
        <v>Nightshades, Alliums, Dried Herbs &amp; Spices, Sweeteners</v>
      </c>
      <c r="I96" s="2" t="s">
        <v>57</v>
      </c>
      <c r="K96" s="2" t="s">
        <v>27</v>
      </c>
      <c r="L96" s="2" t="s">
        <v>20</v>
      </c>
    </row>
    <row r="97">
      <c r="A97" s="2" t="s">
        <v>247</v>
      </c>
      <c r="B97" s="2" t="s">
        <v>13</v>
      </c>
      <c r="C97" s="2" t="s">
        <v>248</v>
      </c>
      <c r="D97" s="2" t="str">
        <f>IFERROR(__xludf.DUMMYFUNCTION("""COMPUTED_VALUE"""),"Caffeine")</f>
        <v>Caffeine</v>
      </c>
      <c r="L97" s="2" t="s">
        <v>249</v>
      </c>
    </row>
    <row r="98">
      <c r="A98" s="2" t="s">
        <v>250</v>
      </c>
      <c r="B98" s="2" t="s">
        <v>13</v>
      </c>
      <c r="C98" s="2" t="s">
        <v>251</v>
      </c>
      <c r="D98" s="2" t="str">
        <f>IFERROR(__xludf.DUMMYFUNCTION("""COMPUTED_VALUE"""),"Caffeine")</f>
        <v>Caffeine</v>
      </c>
      <c r="L98" s="2" t="s">
        <v>249</v>
      </c>
    </row>
    <row r="99">
      <c r="A99" s="2" t="s">
        <v>252</v>
      </c>
      <c r="B99" s="2" t="s">
        <v>13</v>
      </c>
      <c r="C99" s="2" t="s">
        <v>253</v>
      </c>
      <c r="D99" s="2" t="str">
        <f>IFERROR(__xludf.DUMMYFUNCTION("""COMPUTED_VALUE"""),"#N/A")</f>
        <v>#N/A</v>
      </c>
    </row>
    <row r="100">
      <c r="A100" s="2" t="s">
        <v>254</v>
      </c>
      <c r="B100" s="2" t="s">
        <v>13</v>
      </c>
      <c r="C100" s="2" t="s">
        <v>255</v>
      </c>
      <c r="D100" s="2" t="str">
        <f>IFERROR(__xludf.DUMMYFUNCTION("""COMPUTED_VALUE"""),"Nightshades, Spicy")</f>
        <v>Nightshades, Spicy</v>
      </c>
      <c r="I100" s="2" t="s">
        <v>54</v>
      </c>
      <c r="K100" s="2" t="s">
        <v>74</v>
      </c>
    </row>
    <row r="101">
      <c r="A101" s="2" t="s">
        <v>256</v>
      </c>
      <c r="B101" s="2" t="s">
        <v>13</v>
      </c>
      <c r="C101" s="2" t="s">
        <v>257</v>
      </c>
      <c r="D101" s="2" t="str">
        <f>IFERROR(__xludf.DUMMYFUNCTION("""COMPUTED_VALUE"""),"Alliums")</f>
        <v>Alliums</v>
      </c>
      <c r="I101" s="2" t="s">
        <v>70</v>
      </c>
    </row>
    <row r="102">
      <c r="A102" s="2" t="s">
        <v>258</v>
      </c>
      <c r="B102" s="2" t="s">
        <v>13</v>
      </c>
      <c r="C102" s="2" t="s">
        <v>259</v>
      </c>
      <c r="D102" s="2" t="str">
        <f>IFERROR(__xludf.DUMMYFUNCTION("""COMPUTED_VALUE"""),"Wheat, Alliums, Nightshades, Dried Herbs &amp; Spices, Spicy, Sweeteners")</f>
        <v>Wheat, Alliums, Nightshades, Dried Herbs &amp; Spices, Spicy, Sweeteners</v>
      </c>
      <c r="G102" s="2" t="s">
        <v>19</v>
      </c>
      <c r="I102" s="2" t="s">
        <v>158</v>
      </c>
      <c r="K102" s="2" t="s">
        <v>71</v>
      </c>
      <c r="L102" s="2" t="s">
        <v>20</v>
      </c>
    </row>
    <row r="103">
      <c r="A103" s="2" t="s">
        <v>260</v>
      </c>
      <c r="B103" s="2" t="s">
        <v>13</v>
      </c>
      <c r="C103" s="2" t="s">
        <v>261</v>
      </c>
      <c r="D103" s="2" t="str">
        <f>IFERROR(__xludf.DUMMYFUNCTION("""COMPUTED_VALUE"""),"#N/A")</f>
        <v>#N/A</v>
      </c>
      <c r="E103" s="2" t="s">
        <v>244</v>
      </c>
    </row>
    <row r="104">
      <c r="A104" s="2" t="s">
        <v>262</v>
      </c>
      <c r="B104" s="2" t="s">
        <v>94</v>
      </c>
      <c r="C104" s="2" t="s">
        <v>263</v>
      </c>
      <c r="D104" s="2" t="str">
        <f>IFERROR(__xludf.DUMMYFUNCTION("""COMPUTED_VALUE"""),"Dried Herbs &amp; Spices, Sweeteners")</f>
        <v>Dried Herbs &amp; Spices, Sweeteners</v>
      </c>
      <c r="E104" s="2" t="s">
        <v>244</v>
      </c>
      <c r="K104" s="2" t="s">
        <v>27</v>
      </c>
      <c r="L104" s="2" t="s">
        <v>20</v>
      </c>
    </row>
    <row r="105">
      <c r="A105" s="2" t="s">
        <v>264</v>
      </c>
      <c r="B105" s="2" t="s">
        <v>13</v>
      </c>
      <c r="C105" s="2" t="s">
        <v>265</v>
      </c>
      <c r="D105" s="2" t="str">
        <f>IFERROR(__xludf.DUMMYFUNCTION("""COMPUTED_VALUE"""),"Soy")</f>
        <v>Soy</v>
      </c>
      <c r="H105" s="2" t="s">
        <v>65</v>
      </c>
    </row>
    <row r="106">
      <c r="A106" s="2" t="s">
        <v>266</v>
      </c>
      <c r="B106" s="2" t="s">
        <v>13</v>
      </c>
      <c r="C106" s="2" t="s">
        <v>267</v>
      </c>
      <c r="D106" s="2" t="str">
        <f>IFERROR(__xludf.DUMMYFUNCTION("""COMPUTED_VALUE"""),"#N/A")</f>
        <v>#N/A</v>
      </c>
    </row>
    <row r="107">
      <c r="A107" s="2" t="s">
        <v>268</v>
      </c>
      <c r="B107" s="2" t="s">
        <v>13</v>
      </c>
      <c r="C107" s="2" t="s">
        <v>269</v>
      </c>
      <c r="D107" s="2" t="str">
        <f>IFERROR(__xludf.DUMMYFUNCTION("""COMPUTED_VALUE"""),"Alliums, Sweeteners")</f>
        <v>Alliums, Sweeteners</v>
      </c>
      <c r="I107" s="2" t="s">
        <v>70</v>
      </c>
      <c r="L107" s="2" t="s">
        <v>20</v>
      </c>
    </row>
    <row r="108">
      <c r="A108" s="2" t="s">
        <v>270</v>
      </c>
      <c r="B108" s="2" t="s">
        <v>13</v>
      </c>
      <c r="C108" s="2" t="s">
        <v>271</v>
      </c>
      <c r="D108" s="2" t="str">
        <f>IFERROR(__xludf.DUMMYFUNCTION("""COMPUTED_VALUE"""),"Alliums, Sweeteners")</f>
        <v>Alliums, Sweeteners</v>
      </c>
      <c r="I108" s="2" t="s">
        <v>70</v>
      </c>
      <c r="L108" s="2" t="s">
        <v>20</v>
      </c>
    </row>
    <row r="109">
      <c r="A109" s="2" t="s">
        <v>272</v>
      </c>
      <c r="B109" s="2" t="s">
        <v>13</v>
      </c>
      <c r="C109" s="2" t="s">
        <v>273</v>
      </c>
      <c r="D109" s="2" t="str">
        <f>IFERROR(__xludf.DUMMYFUNCTION("""COMPUTED_VALUE"""),"Peanuts")</f>
        <v>Peanuts</v>
      </c>
      <c r="H109" s="2" t="s">
        <v>47</v>
      </c>
    </row>
    <row r="110">
      <c r="A110" s="2" t="s">
        <v>274</v>
      </c>
      <c r="B110" s="2" t="s">
        <v>13</v>
      </c>
      <c r="C110" s="2" t="s">
        <v>275</v>
      </c>
      <c r="D110" s="2" t="str">
        <f>IFERROR(__xludf.DUMMYFUNCTION("""COMPUTED_VALUE"""),"Peanuts")</f>
        <v>Peanuts</v>
      </c>
      <c r="H110" s="2" t="s">
        <v>47</v>
      </c>
    </row>
    <row r="111">
      <c r="A111" s="2" t="s">
        <v>276</v>
      </c>
      <c r="B111" s="2" t="s">
        <v>13</v>
      </c>
      <c r="C111" s="2" t="s">
        <v>277</v>
      </c>
      <c r="D111" s="2" t="str">
        <f>IFERROR(__xludf.DUMMYFUNCTION("""COMPUTED_VALUE"""),"#N/A")</f>
        <v>#N/A</v>
      </c>
    </row>
    <row r="112">
      <c r="A112" s="2" t="s">
        <v>278</v>
      </c>
      <c r="B112" s="2" t="s">
        <v>13</v>
      </c>
      <c r="C112" s="2" t="s">
        <v>279</v>
      </c>
      <c r="D112" s="2" t="str">
        <f>IFERROR(__xludf.DUMMYFUNCTION("""COMPUTED_VALUE"""),"Peanuts, Tree Nuts")</f>
        <v>Peanuts, Tree Nuts</v>
      </c>
      <c r="H112" s="2" t="s">
        <v>280</v>
      </c>
    </row>
    <row r="113">
      <c r="A113" s="2" t="s">
        <v>281</v>
      </c>
      <c r="B113" s="2" t="s">
        <v>13</v>
      </c>
      <c r="C113" s="2" t="s">
        <v>282</v>
      </c>
      <c r="D113" s="2" t="str">
        <f>IFERROR(__xludf.DUMMYFUNCTION("""COMPUTED_VALUE"""),"Tree Nuts, Nightshades, Sweeteners")</f>
        <v>Tree Nuts, Nightshades, Sweeteners</v>
      </c>
      <c r="H113" s="2" t="s">
        <v>44</v>
      </c>
      <c r="I113" s="2" t="s">
        <v>54</v>
      </c>
      <c r="L113" s="2" t="s">
        <v>20</v>
      </c>
    </row>
    <row r="114">
      <c r="A114" s="2" t="s">
        <v>283</v>
      </c>
      <c r="B114" s="2" t="s">
        <v>13</v>
      </c>
      <c r="C114" s="2" t="s">
        <v>284</v>
      </c>
      <c r="D114" s="2" t="str">
        <f>IFERROR(__xludf.DUMMYFUNCTION("""COMPUTED_VALUE"""),"Tree Nuts")</f>
        <v>Tree Nuts</v>
      </c>
      <c r="H114" s="2" t="s">
        <v>44</v>
      </c>
    </row>
    <row r="115">
      <c r="A115" s="2" t="s">
        <v>285</v>
      </c>
      <c r="B115" s="2" t="s">
        <v>13</v>
      </c>
      <c r="C115" s="2" t="s">
        <v>286</v>
      </c>
      <c r="D115" s="2" t="str">
        <f>IFERROR(__xludf.DUMMYFUNCTION("""COMPUTED_VALUE"""),"Other")</f>
        <v>Other</v>
      </c>
      <c r="M115" s="2" t="s">
        <v>15</v>
      </c>
    </row>
    <row r="116">
      <c r="A116" s="2" t="s">
        <v>287</v>
      </c>
      <c r="B116" s="2" t="s">
        <v>94</v>
      </c>
      <c r="C116" s="2" t="s">
        <v>288</v>
      </c>
      <c r="D116" s="2" t="str">
        <f>IFERROR(__xludf.DUMMYFUNCTION("""COMPUTED_VALUE"""),"Alliums, Dried Herbs &amp; Spices, Spicy, Sweeteners")</f>
        <v>Alliums, Dried Herbs &amp; Spices, Spicy, Sweeteners</v>
      </c>
      <c r="I116" s="2" t="s">
        <v>70</v>
      </c>
      <c r="K116" s="2" t="s">
        <v>71</v>
      </c>
      <c r="L116" s="2" t="s">
        <v>20</v>
      </c>
    </row>
    <row r="117">
      <c r="A117" s="2" t="s">
        <v>289</v>
      </c>
      <c r="B117" s="2" t="s">
        <v>13</v>
      </c>
      <c r="C117" s="2" t="s">
        <v>290</v>
      </c>
      <c r="D117" s="2" t="str">
        <f>IFERROR(__xludf.DUMMYFUNCTION("""COMPUTED_VALUE"""),"Wheat, Other")</f>
        <v>Wheat, Other</v>
      </c>
      <c r="E117" s="2" t="s">
        <v>244</v>
      </c>
      <c r="G117" s="2" t="s">
        <v>19</v>
      </c>
      <c r="M117" s="2" t="s">
        <v>15</v>
      </c>
    </row>
    <row r="118">
      <c r="A118" s="2" t="s">
        <v>291</v>
      </c>
      <c r="B118" s="2" t="s">
        <v>13</v>
      </c>
      <c r="C118" s="2" t="s">
        <v>292</v>
      </c>
      <c r="D118" s="2" t="str">
        <f>IFERROR(__xludf.DUMMYFUNCTION("""COMPUTED_VALUE"""),"Potatoes, Corn, Wheat, Other")</f>
        <v>Potatoes, Corn, Wheat, Other</v>
      </c>
      <c r="G118" s="2" t="s">
        <v>293</v>
      </c>
      <c r="M118" s="2" t="s">
        <v>15</v>
      </c>
    </row>
    <row r="119">
      <c r="A119" s="2" t="s">
        <v>294</v>
      </c>
      <c r="B119" s="2" t="s">
        <v>13</v>
      </c>
      <c r="C119" s="2" t="s">
        <v>295</v>
      </c>
      <c r="D119" s="2" t="str">
        <f>IFERROR(__xludf.DUMMYFUNCTION("""COMPUTED_VALUE"""),"Corn, Beans")</f>
        <v>Corn, Beans</v>
      </c>
      <c r="G119" s="2" t="s">
        <v>41</v>
      </c>
      <c r="H119" s="2" t="s">
        <v>296</v>
      </c>
    </row>
    <row r="120">
      <c r="A120" s="2" t="s">
        <v>297</v>
      </c>
      <c r="B120" s="2" t="s">
        <v>13</v>
      </c>
      <c r="C120" s="2" t="s">
        <v>298</v>
      </c>
      <c r="D120" s="2" t="str">
        <f>IFERROR(__xludf.DUMMYFUNCTION("""COMPUTED_VALUE"""),"#N/A")</f>
        <v>#N/A</v>
      </c>
    </row>
    <row r="121">
      <c r="A121" s="2" t="s">
        <v>299</v>
      </c>
      <c r="B121" s="2" t="s">
        <v>13</v>
      </c>
      <c r="C121" s="2" t="s">
        <v>300</v>
      </c>
      <c r="D121" s="2" t="str">
        <f>IFERROR(__xludf.DUMMYFUNCTION("""COMPUTED_VALUE"""),"Potatoes")</f>
        <v>Potatoes</v>
      </c>
      <c r="G121" s="2" t="s">
        <v>189</v>
      </c>
    </row>
    <row r="122">
      <c r="A122" s="2" t="s">
        <v>301</v>
      </c>
      <c r="B122" s="2" t="s">
        <v>13</v>
      </c>
      <c r="C122" s="2" t="s">
        <v>302</v>
      </c>
      <c r="D122" s="2" t="str">
        <f>IFERROR(__xludf.DUMMYFUNCTION("""COMPUTED_VALUE"""),"Potatoes, Corn, Wheat, Other")</f>
        <v>Potatoes, Corn, Wheat, Other</v>
      </c>
      <c r="G122" s="2" t="s">
        <v>293</v>
      </c>
      <c r="M122" s="2" t="s">
        <v>15</v>
      </c>
    </row>
    <row r="123">
      <c r="A123" s="2" t="s">
        <v>303</v>
      </c>
      <c r="B123" s="2" t="s">
        <v>13</v>
      </c>
      <c r="C123" s="2" t="s">
        <v>304</v>
      </c>
      <c r="D123" s="2" t="str">
        <f>IFERROR(__xludf.DUMMYFUNCTION("""COMPUTED_VALUE"""),"Potatoes, Corn, Wheat, Other")</f>
        <v>Potatoes, Corn, Wheat, Other</v>
      </c>
      <c r="G123" s="2" t="s">
        <v>293</v>
      </c>
      <c r="M123" s="2" t="s">
        <v>15</v>
      </c>
    </row>
    <row r="124">
      <c r="A124" s="2" t="s">
        <v>305</v>
      </c>
      <c r="B124" s="2" t="s">
        <v>13</v>
      </c>
      <c r="C124" s="2" t="s">
        <v>306</v>
      </c>
      <c r="D124" s="2" t="str">
        <f>IFERROR(__xludf.DUMMYFUNCTION("""COMPUTED_VALUE"""),"Potatoes")</f>
        <v>Potatoes</v>
      </c>
      <c r="G124" s="2" t="s">
        <v>189</v>
      </c>
    </row>
    <row r="125">
      <c r="A125" s="2" t="s">
        <v>307</v>
      </c>
      <c r="B125" s="2" t="s">
        <v>94</v>
      </c>
      <c r="C125" s="2" t="s">
        <v>308</v>
      </c>
      <c r="D125" s="2" t="str">
        <f>IFERROR(__xludf.DUMMYFUNCTION("""COMPUTED_VALUE"""),"Potatoes, Gluten-Free Grains, Dried Herbs &amp; Spices, Sweeteners")</f>
        <v>Potatoes, Gluten-Free Grains, Dried Herbs &amp; Spices, Sweeteners</v>
      </c>
      <c r="G125" s="2" t="s">
        <v>309</v>
      </c>
      <c r="K125" s="2" t="s">
        <v>27</v>
      </c>
      <c r="L125" s="2" t="s">
        <v>20</v>
      </c>
    </row>
    <row r="126">
      <c r="A126" s="2" t="s">
        <v>310</v>
      </c>
      <c r="B126" s="2" t="s">
        <v>94</v>
      </c>
      <c r="C126" s="2" t="s">
        <v>311</v>
      </c>
      <c r="D126" s="2" t="str">
        <f>IFERROR(__xludf.DUMMYFUNCTION("""COMPUTED_VALUE"""),"Dried Herbs &amp; Spices")</f>
        <v>Dried Herbs &amp; Spices</v>
      </c>
      <c r="K126" s="2" t="s">
        <v>27</v>
      </c>
    </row>
    <row r="127">
      <c r="A127" s="2" t="s">
        <v>312</v>
      </c>
      <c r="B127" s="2" t="s">
        <v>94</v>
      </c>
      <c r="C127" s="2" t="s">
        <v>313</v>
      </c>
      <c r="D127" s="2" t="str">
        <f>IFERROR(__xludf.DUMMYFUNCTION("""COMPUTED_VALUE"""),"Stone Fruits")</f>
        <v>Stone Fruits</v>
      </c>
      <c r="J127" s="2" t="s">
        <v>147</v>
      </c>
    </row>
    <row r="128">
      <c r="A128" s="2" t="s">
        <v>314</v>
      </c>
      <c r="B128" s="2" t="s">
        <v>94</v>
      </c>
      <c r="C128" s="2" t="s">
        <v>315</v>
      </c>
      <c r="D128" s="2" t="str">
        <f>IFERROR(__xludf.DUMMYFUNCTION("""COMPUTED_VALUE"""),"Wheat, Berries, Dried Herbs &amp; Spices, Sweeteners")</f>
        <v>Wheat, Berries, Dried Herbs &amp; Spices, Sweeteners</v>
      </c>
      <c r="G128" s="2" t="s">
        <v>19</v>
      </c>
      <c r="J128" s="2" t="s">
        <v>316</v>
      </c>
      <c r="K128" s="2" t="s">
        <v>27</v>
      </c>
      <c r="L128" s="2" t="s">
        <v>20</v>
      </c>
    </row>
    <row r="129">
      <c r="A129" s="2" t="s">
        <v>317</v>
      </c>
      <c r="B129" s="2" t="s">
        <v>94</v>
      </c>
      <c r="C129" s="2" t="s">
        <v>318</v>
      </c>
      <c r="D129" s="2" t="str">
        <f>IFERROR(__xludf.DUMMYFUNCTION("""COMPUTED_VALUE"""),"Wheat, Sweeteners")</f>
        <v>Wheat, Sweeteners</v>
      </c>
      <c r="G129" s="2" t="s">
        <v>19</v>
      </c>
      <c r="L129" s="2" t="s">
        <v>20</v>
      </c>
    </row>
    <row r="130">
      <c r="A130" s="2" t="s">
        <v>319</v>
      </c>
      <c r="B130" s="2" t="s">
        <v>94</v>
      </c>
      <c r="C130" s="2" t="s">
        <v>320</v>
      </c>
      <c r="D130" s="2" t="str">
        <f>IFERROR(__xludf.DUMMYFUNCTION("""COMPUTED_VALUE"""),"Others")</f>
        <v>Others</v>
      </c>
      <c r="M130" s="2" t="s">
        <v>11</v>
      </c>
    </row>
    <row r="131">
      <c r="A131" s="2" t="s">
        <v>321</v>
      </c>
      <c r="B131" s="2" t="s">
        <v>94</v>
      </c>
      <c r="C131" s="2" t="s">
        <v>322</v>
      </c>
      <c r="D131" s="2" t="str">
        <f>IFERROR(__xludf.DUMMYFUNCTION("""COMPUTED_VALUE"""),"Wheat, Soy")</f>
        <v>Wheat, Soy</v>
      </c>
      <c r="G131" s="2" t="s">
        <v>19</v>
      </c>
      <c r="H131" s="2" t="s">
        <v>65</v>
      </c>
    </row>
    <row r="132">
      <c r="A132" s="2" t="s">
        <v>323</v>
      </c>
      <c r="B132" s="2" t="s">
        <v>94</v>
      </c>
      <c r="C132" s="2" t="s">
        <v>324</v>
      </c>
      <c r="D132" s="2" t="str">
        <f>IFERROR(__xludf.DUMMYFUNCTION("""COMPUTED_VALUE"""),"#N/A")</f>
        <v>#N/A</v>
      </c>
      <c r="E132" s="2" t="s">
        <v>325</v>
      </c>
    </row>
    <row r="133">
      <c r="A133" s="2" t="s">
        <v>326</v>
      </c>
      <c r="B133" s="2" t="s">
        <v>94</v>
      </c>
      <c r="C133" s="2" t="s">
        <v>327</v>
      </c>
      <c r="D133" s="2" t="str">
        <f>IFERROR(__xludf.DUMMYFUNCTION("""COMPUTED_VALUE"""),"Wheat, Dried Herbs &amp; Spices")</f>
        <v>Wheat, Dried Herbs &amp; Spices</v>
      </c>
      <c r="E133" s="2" t="s">
        <v>328</v>
      </c>
      <c r="G133" s="2" t="s">
        <v>19</v>
      </c>
      <c r="K133" s="2" t="s">
        <v>27</v>
      </c>
    </row>
    <row r="134">
      <c r="A134" s="2" t="s">
        <v>329</v>
      </c>
      <c r="B134" s="2" t="s">
        <v>94</v>
      </c>
      <c r="C134" s="2" t="s">
        <v>330</v>
      </c>
      <c r="D134" s="2" t="str">
        <f>IFERROR(__xludf.DUMMYFUNCTION("""COMPUTED_VALUE"""),"Wheat, Corn, Soy, Alliums, Fresh Herbs")</f>
        <v>Wheat, Corn, Soy, Alliums, Fresh Herbs</v>
      </c>
      <c r="E134" s="2" t="s">
        <v>331</v>
      </c>
      <c r="G134" s="2" t="s">
        <v>200</v>
      </c>
      <c r="H134" s="2" t="s">
        <v>65</v>
      </c>
      <c r="I134" s="2" t="s">
        <v>70</v>
      </c>
      <c r="K134" s="2" t="s">
        <v>332</v>
      </c>
    </row>
    <row r="135">
      <c r="A135" s="2" t="s">
        <v>333</v>
      </c>
      <c r="B135" s="2" t="s">
        <v>94</v>
      </c>
      <c r="C135" s="2" t="s">
        <v>334</v>
      </c>
      <c r="D135" s="2" t="str">
        <f>IFERROR(__xludf.DUMMYFUNCTION("""COMPUTED_VALUE"""),"Soy, Beans, Dried Herbs &amp; Spices, Sweeteners")</f>
        <v>Soy, Beans, Dried Herbs &amp; Spices, Sweeteners</v>
      </c>
      <c r="H135" s="2" t="s">
        <v>335</v>
      </c>
      <c r="K135" s="2" t="s">
        <v>27</v>
      </c>
      <c r="L135" s="2" t="s">
        <v>20</v>
      </c>
    </row>
    <row r="136">
      <c r="A136" s="2" t="s">
        <v>336</v>
      </c>
      <c r="B136" s="2" t="s">
        <v>94</v>
      </c>
      <c r="C136" s="2" t="s">
        <v>337</v>
      </c>
      <c r="D136" s="2" t="str">
        <f>IFERROR(__xludf.DUMMYFUNCTION("""COMPUTED_VALUE"""),"Soy, Beans, Dried Herbs &amp; Spices, Sweeteners")</f>
        <v>Soy, Beans, Dried Herbs &amp; Spices, Sweeteners</v>
      </c>
      <c r="H136" s="2" t="s">
        <v>335</v>
      </c>
      <c r="K136" s="2" t="s">
        <v>27</v>
      </c>
      <c r="L136" s="2" t="s">
        <v>20</v>
      </c>
    </row>
    <row r="137">
      <c r="A137" s="2" t="s">
        <v>338</v>
      </c>
      <c r="B137" s="2" t="s">
        <v>94</v>
      </c>
      <c r="C137" s="2" t="s">
        <v>339</v>
      </c>
      <c r="D137" s="2" t="str">
        <f>IFERROR(__xludf.DUMMYFUNCTION("""COMPUTED_VALUE"""),"Wheat, Soy, Beans, Dried Herbs &amp; Spices")</f>
        <v>Wheat, Soy, Beans, Dried Herbs &amp; Spices</v>
      </c>
      <c r="G137" s="2" t="s">
        <v>19</v>
      </c>
      <c r="H137" s="2" t="s">
        <v>335</v>
      </c>
      <c r="K137" s="2" t="s">
        <v>27</v>
      </c>
    </row>
    <row r="138">
      <c r="A138" s="2" t="s">
        <v>340</v>
      </c>
      <c r="B138" s="2" t="s">
        <v>94</v>
      </c>
      <c r="C138" s="2" t="s">
        <v>341</v>
      </c>
      <c r="D138" s="2" t="str">
        <f>IFERROR(__xludf.DUMMYFUNCTION("""COMPUTED_VALUE"""),"Wheat, Soy")</f>
        <v>Wheat, Soy</v>
      </c>
      <c r="G138" s="2" t="s">
        <v>19</v>
      </c>
      <c r="H138" s="2" t="s">
        <v>65</v>
      </c>
    </row>
    <row r="139">
      <c r="A139" s="2" t="s">
        <v>342</v>
      </c>
      <c r="B139" s="2" t="s">
        <v>94</v>
      </c>
      <c r="C139" s="2" t="s">
        <v>343</v>
      </c>
      <c r="D139" s="2" t="str">
        <f>IFERROR(__xludf.DUMMYFUNCTION("""COMPUTED_VALUE"""),"Wheat, Soy, Dried Herbs &amp; Spices")</f>
        <v>Wheat, Soy, Dried Herbs &amp; Spices</v>
      </c>
      <c r="G139" s="2" t="s">
        <v>19</v>
      </c>
      <c r="H139" s="2" t="s">
        <v>65</v>
      </c>
      <c r="K139" s="2" t="s">
        <v>27</v>
      </c>
    </row>
    <row r="140">
      <c r="A140" s="2" t="s">
        <v>344</v>
      </c>
      <c r="B140" s="2" t="s">
        <v>94</v>
      </c>
      <c r="C140" s="2" t="s">
        <v>345</v>
      </c>
      <c r="D140" s="2" t="str">
        <f>IFERROR(__xludf.DUMMYFUNCTION("""COMPUTED_VALUE"""),"Wheat, Soy, Alliums, Nightshades, Dried Herbs &amp; Spices, Sweeteners")</f>
        <v>Wheat, Soy, Alliums, Nightshades, Dried Herbs &amp; Spices, Sweeteners</v>
      </c>
      <c r="G140" s="2" t="s">
        <v>19</v>
      </c>
      <c r="H140" s="2" t="s">
        <v>65</v>
      </c>
      <c r="I140" s="2" t="s">
        <v>158</v>
      </c>
      <c r="K140" s="2" t="s">
        <v>27</v>
      </c>
      <c r="L140" s="2" t="s">
        <v>20</v>
      </c>
    </row>
    <row r="141">
      <c r="A141" s="2" t="s">
        <v>346</v>
      </c>
      <c r="B141" s="2" t="s">
        <v>94</v>
      </c>
      <c r="C141" s="2" t="s">
        <v>347</v>
      </c>
      <c r="D141" s="2" t="str">
        <f>IFERROR(__xludf.DUMMYFUNCTION("""COMPUTED_VALUE"""),"Wheat, Soy, Dried Herbs &amp; Spices")</f>
        <v>Wheat, Soy, Dried Herbs &amp; Spices</v>
      </c>
      <c r="G141" s="2" t="s">
        <v>19</v>
      </c>
      <c r="H141" s="2" t="s">
        <v>65</v>
      </c>
      <c r="K141" s="2" t="s">
        <v>27</v>
      </c>
    </row>
    <row r="142">
      <c r="A142" s="2" t="s">
        <v>348</v>
      </c>
      <c r="B142" s="2" t="s">
        <v>94</v>
      </c>
      <c r="C142" s="2" t="s">
        <v>349</v>
      </c>
      <c r="D142" s="2" t="str">
        <f>IFERROR(__xludf.DUMMYFUNCTION("""COMPUTED_VALUE"""),"Soy, Dried Herbs &amp; Spices")</f>
        <v>Soy, Dried Herbs &amp; Spices</v>
      </c>
      <c r="H142" s="2" t="s">
        <v>65</v>
      </c>
      <c r="K142" s="2" t="s">
        <v>27</v>
      </c>
    </row>
    <row r="143">
      <c r="A143" s="2" t="s">
        <v>350</v>
      </c>
      <c r="B143" s="2" t="s">
        <v>94</v>
      </c>
      <c r="C143" s="2" t="s">
        <v>351</v>
      </c>
      <c r="D143" s="2" t="str">
        <f>IFERROR(__xludf.DUMMYFUNCTION("""COMPUTED_VALUE"""),"Wheat, Soy, Dried Herbs &amp; Spices, Spicy")</f>
        <v>Wheat, Soy, Dried Herbs &amp; Spices, Spicy</v>
      </c>
      <c r="G143" s="2" t="s">
        <v>19</v>
      </c>
      <c r="H143" s="2" t="s">
        <v>65</v>
      </c>
      <c r="K143" s="2" t="s">
        <v>71</v>
      </c>
    </row>
    <row r="144">
      <c r="A144" s="2" t="s">
        <v>352</v>
      </c>
      <c r="B144" s="2" t="s">
        <v>94</v>
      </c>
      <c r="C144" s="2" t="s">
        <v>353</v>
      </c>
      <c r="D144" s="2" t="str">
        <f>IFERROR(__xludf.DUMMYFUNCTION("""COMPUTED_VALUE"""),"Nightshades, Alliums, Dried Herbs &amp; Spices, Sweeteners")</f>
        <v>Nightshades, Alliums, Dried Herbs &amp; Spices, Sweeteners</v>
      </c>
      <c r="I144" s="2" t="s">
        <v>57</v>
      </c>
      <c r="K144" s="2" t="s">
        <v>27</v>
      </c>
      <c r="L144" s="2" t="s">
        <v>20</v>
      </c>
    </row>
    <row r="145">
      <c r="A145" s="2" t="s">
        <v>354</v>
      </c>
      <c r="B145" s="2" t="s">
        <v>94</v>
      </c>
      <c r="C145" s="2" t="s">
        <v>355</v>
      </c>
      <c r="D145" s="2" t="str">
        <f>IFERROR(__xludf.DUMMYFUNCTION("""COMPUTED_VALUE"""),"Nightshades, Cruciferous, Leafy Greens, Mushrooms, Alliums, Fresh Herbs")</f>
        <v>Nightshades, Cruciferous, Leafy Greens, Mushrooms, Alliums, Fresh Herbs</v>
      </c>
      <c r="I145" s="2" t="s">
        <v>356</v>
      </c>
      <c r="K145" s="2" t="s">
        <v>332</v>
      </c>
    </row>
    <row r="146">
      <c r="A146" s="2" t="s">
        <v>357</v>
      </c>
      <c r="B146" s="2" t="s">
        <v>94</v>
      </c>
      <c r="C146" s="2" t="s">
        <v>358</v>
      </c>
      <c r="D146" s="2" t="str">
        <f>IFERROR(__xludf.DUMMYFUNCTION("""COMPUTED_VALUE"""),"Wheat")</f>
        <v>Wheat</v>
      </c>
      <c r="G146" s="2" t="s">
        <v>19</v>
      </c>
    </row>
    <row r="147">
      <c r="A147" s="2" t="s">
        <v>359</v>
      </c>
      <c r="B147" s="2" t="s">
        <v>94</v>
      </c>
      <c r="C147" s="2" t="s">
        <v>360</v>
      </c>
      <c r="D147" s="2" t="str">
        <f>IFERROR(__xludf.DUMMYFUNCTION("""COMPUTED_VALUE"""),"Wheat")</f>
        <v>Wheat</v>
      </c>
      <c r="G147" s="2" t="s">
        <v>19</v>
      </c>
    </row>
    <row r="148">
      <c r="A148" s="2" t="s">
        <v>361</v>
      </c>
      <c r="B148" s="2" t="s">
        <v>94</v>
      </c>
      <c r="C148" s="2" t="s">
        <v>362</v>
      </c>
      <c r="D148" s="2" t="str">
        <f>IFERROR(__xludf.DUMMYFUNCTION("""COMPUTED_VALUE"""),"Tropical Fruits")</f>
        <v>Tropical Fruits</v>
      </c>
      <c r="J148" s="2" t="s">
        <v>133</v>
      </c>
    </row>
    <row r="149">
      <c r="A149" s="2" t="s">
        <v>363</v>
      </c>
      <c r="B149" s="2" t="s">
        <v>94</v>
      </c>
      <c r="C149" s="2" t="s">
        <v>364</v>
      </c>
      <c r="D149" s="2" t="str">
        <f>IFERROR(__xludf.DUMMYFUNCTION("""COMPUTED_VALUE"""),"Lactose-Free, Sweeteners")</f>
        <v>Lactose-Free, Sweeteners</v>
      </c>
      <c r="F149" s="2" t="s">
        <v>100</v>
      </c>
      <c r="L149" s="2" t="s">
        <v>20</v>
      </c>
    </row>
    <row r="150">
      <c r="A150" s="2" t="s">
        <v>365</v>
      </c>
      <c r="B150" s="2" t="s">
        <v>94</v>
      </c>
      <c r="C150" s="2" t="s">
        <v>366</v>
      </c>
      <c r="D150" s="2" t="str">
        <f>IFERROR(__xludf.DUMMYFUNCTION("""COMPUTED_VALUE"""),"#N/A")</f>
        <v>#N/A</v>
      </c>
      <c r="E150" s="2" t="s">
        <v>30</v>
      </c>
    </row>
    <row r="151">
      <c r="A151" s="2" t="s">
        <v>367</v>
      </c>
      <c r="B151" s="2" t="s">
        <v>94</v>
      </c>
      <c r="C151" s="2" t="s">
        <v>368</v>
      </c>
      <c r="D151" s="2" t="str">
        <f>IFERROR(__xludf.DUMMYFUNCTION("""COMPUTED_VALUE"""),"#N/A")</f>
        <v>#N/A</v>
      </c>
      <c r="E151" s="2" t="s">
        <v>30</v>
      </c>
    </row>
    <row r="152">
      <c r="A152" s="2" t="s">
        <v>369</v>
      </c>
      <c r="B152" s="2" t="s">
        <v>94</v>
      </c>
      <c r="C152" s="2" t="s">
        <v>370</v>
      </c>
      <c r="D152" s="2" t="str">
        <f>IFERROR(__xludf.DUMMYFUNCTION("""COMPUTED_VALUE"""),"Gluten-Free Grains")</f>
        <v>Gluten-Free Grains</v>
      </c>
      <c r="G152" s="2" t="s">
        <v>60</v>
      </c>
    </row>
    <row r="153">
      <c r="A153" s="2" t="s">
        <v>371</v>
      </c>
      <c r="B153" s="2" t="s">
        <v>94</v>
      </c>
      <c r="C153" s="2" t="s">
        <v>372</v>
      </c>
      <c r="D153" s="2" t="str">
        <f>IFERROR(__xludf.DUMMYFUNCTION("""COMPUTED_VALUE"""),"#N/A")</f>
        <v>#N/A</v>
      </c>
      <c r="E153" s="2" t="s">
        <v>244</v>
      </c>
    </row>
    <row r="154">
      <c r="A154" s="2" t="s">
        <v>373</v>
      </c>
      <c r="B154" s="2" t="s">
        <v>94</v>
      </c>
      <c r="C154" s="2" t="s">
        <v>374</v>
      </c>
      <c r="D154" s="2" t="str">
        <f>IFERROR(__xludf.DUMMYFUNCTION("""COMPUTED_VALUE"""),"#N/A")</f>
        <v>#N/A</v>
      </c>
      <c r="E154" s="2" t="s">
        <v>244</v>
      </c>
    </row>
    <row r="155">
      <c r="A155" s="2" t="s">
        <v>375</v>
      </c>
      <c r="B155" s="2" t="s">
        <v>94</v>
      </c>
      <c r="C155" s="2" t="s">
        <v>376</v>
      </c>
      <c r="D155" s="2" t="str">
        <f>IFERROR(__xludf.DUMMYFUNCTION("""COMPUTED_VALUE"""),"Alcohol")</f>
        <v>Alcohol</v>
      </c>
      <c r="L155" s="2" t="s">
        <v>112</v>
      </c>
    </row>
    <row r="156">
      <c r="A156" s="2" t="s">
        <v>377</v>
      </c>
      <c r="B156" s="2" t="s">
        <v>94</v>
      </c>
      <c r="C156" s="2" t="s">
        <v>378</v>
      </c>
      <c r="D156" s="2" t="str">
        <f>IFERROR(__xludf.DUMMYFUNCTION("""COMPUTED_VALUE"""),"Fresh Herbs")</f>
        <v>Fresh Herbs</v>
      </c>
      <c r="K156" s="2" t="s">
        <v>332</v>
      </c>
    </row>
    <row r="157">
      <c r="A157" s="2" t="s">
        <v>379</v>
      </c>
      <c r="B157" s="2" t="s">
        <v>94</v>
      </c>
      <c r="C157" s="2" t="s">
        <v>380</v>
      </c>
      <c r="D157" s="2" t="str">
        <f>IFERROR(__xludf.DUMMYFUNCTION("""COMPUTED_VALUE"""),"Dried Herbs &amp; Spices, Spicy")</f>
        <v>Dried Herbs &amp; Spices, Spicy</v>
      </c>
      <c r="K157" s="2" t="s">
        <v>71</v>
      </c>
    </row>
    <row r="158">
      <c r="A158" s="2" t="s">
        <v>381</v>
      </c>
      <c r="B158" s="2" t="s">
        <v>94</v>
      </c>
      <c r="C158" s="2" t="s">
        <v>382</v>
      </c>
      <c r="D158" s="2" t="str">
        <f>IFERROR(__xludf.DUMMYFUNCTION("""COMPUTED_VALUE"""),"Dried Herbs &amp; Spices, Spicy")</f>
        <v>Dried Herbs &amp; Spices, Spicy</v>
      </c>
      <c r="K158" s="2" t="s">
        <v>71</v>
      </c>
    </row>
    <row r="159">
      <c r="A159" s="2" t="s">
        <v>383</v>
      </c>
      <c r="B159" s="2" t="s">
        <v>94</v>
      </c>
      <c r="C159" s="2" t="s">
        <v>384</v>
      </c>
      <c r="D159" s="2" t="str">
        <f>IFERROR(__xludf.DUMMYFUNCTION("""COMPUTED_VALUE"""),"Dried Herbs &amp; Spices")</f>
        <v>Dried Herbs &amp; Spices</v>
      </c>
      <c r="K159" s="2" t="s">
        <v>27</v>
      </c>
    </row>
    <row r="160">
      <c r="A160" s="2" t="s">
        <v>385</v>
      </c>
      <c r="B160" s="2" t="s">
        <v>94</v>
      </c>
      <c r="C160" s="2" t="s">
        <v>386</v>
      </c>
      <c r="D160" s="2" t="str">
        <f>IFERROR(__xludf.DUMMYFUNCTION("""COMPUTED_VALUE"""),"Dried Herbs &amp; Spices")</f>
        <v>Dried Herbs &amp; Spices</v>
      </c>
      <c r="K160" s="2" t="s">
        <v>27</v>
      </c>
    </row>
    <row r="161">
      <c r="A161" s="2" t="s">
        <v>387</v>
      </c>
      <c r="B161" s="2" t="s">
        <v>94</v>
      </c>
      <c r="C161" s="2" t="s">
        <v>388</v>
      </c>
      <c r="D161" s="2" t="str">
        <f>IFERROR(__xludf.DUMMYFUNCTION("""COMPUTED_VALUE"""),"Nightshades, Alliums")</f>
        <v>Nightshades, Alliums</v>
      </c>
      <c r="I161" s="2" t="s">
        <v>57</v>
      </c>
    </row>
    <row r="162">
      <c r="A162" s="2" t="s">
        <v>389</v>
      </c>
      <c r="B162" s="2" t="s">
        <v>94</v>
      </c>
      <c r="C162" s="2" t="s">
        <v>390</v>
      </c>
      <c r="D162" s="2" t="str">
        <f>IFERROR(__xludf.DUMMYFUNCTION("""COMPUTED_VALUE"""),"#N/A")</f>
        <v>#N/A</v>
      </c>
      <c r="E162" s="2" t="s">
        <v>18</v>
      </c>
    </row>
    <row r="163">
      <c r="A163" s="2" t="s">
        <v>391</v>
      </c>
      <c r="B163" s="2" t="s">
        <v>94</v>
      </c>
      <c r="C163" s="2" t="s">
        <v>392</v>
      </c>
      <c r="D163" s="2" t="str">
        <f>IFERROR(__xludf.DUMMYFUNCTION("""COMPUTED_VALUE"""),"Dried Herbs &amp; Spices, Spicy")</f>
        <v>Dried Herbs &amp; Spices, Spicy</v>
      </c>
      <c r="K163" s="2" t="s">
        <v>71</v>
      </c>
    </row>
    <row r="164">
      <c r="A164" s="2" t="s">
        <v>393</v>
      </c>
      <c r="B164" s="2" t="s">
        <v>94</v>
      </c>
      <c r="C164" s="2" t="s">
        <v>394</v>
      </c>
      <c r="D164" s="2" t="str">
        <f>IFERROR(__xludf.DUMMYFUNCTION("""COMPUTED_VALUE"""),"Nightshades, Alliums")</f>
        <v>Nightshades, Alliums</v>
      </c>
      <c r="I164" s="2" t="s">
        <v>57</v>
      </c>
    </row>
    <row r="165">
      <c r="A165" s="2" t="s">
        <v>395</v>
      </c>
      <c r="B165" s="2" t="s">
        <v>94</v>
      </c>
      <c r="C165" s="2" t="s">
        <v>396</v>
      </c>
      <c r="D165" s="2" t="str">
        <f>IFERROR(__xludf.DUMMYFUNCTION("""COMPUTED_VALUE"""),"Citrus")</f>
        <v>Citrus</v>
      </c>
      <c r="J165" s="2" t="s">
        <v>128</v>
      </c>
    </row>
    <row r="166">
      <c r="A166" s="2" t="s">
        <v>397</v>
      </c>
      <c r="B166" s="2" t="s">
        <v>94</v>
      </c>
      <c r="C166" s="2" t="s">
        <v>398</v>
      </c>
      <c r="D166" s="2" t="str">
        <f>IFERROR(__xludf.DUMMYFUNCTION("""COMPUTED_VALUE"""),"Leafy Greens")</f>
        <v>Leafy Greens</v>
      </c>
      <c r="I166" s="2" t="s">
        <v>399</v>
      </c>
    </row>
    <row r="167">
      <c r="A167" s="2" t="s">
        <v>400</v>
      </c>
      <c r="B167" s="2" t="s">
        <v>94</v>
      </c>
      <c r="C167" s="2" t="s">
        <v>401</v>
      </c>
      <c r="D167" s="2" t="str">
        <f>IFERROR(__xludf.DUMMYFUNCTION("""COMPUTED_VALUE"""),"Corn")</f>
        <v>Corn</v>
      </c>
      <c r="G167" s="2" t="s">
        <v>41</v>
      </c>
    </row>
    <row r="168">
      <c r="A168" s="2" t="s">
        <v>402</v>
      </c>
      <c r="B168" s="2" t="s">
        <v>94</v>
      </c>
      <c r="C168" s="2" t="s">
        <v>403</v>
      </c>
      <c r="D168" s="2" t="str">
        <f>IFERROR(__xludf.DUMMYFUNCTION("""COMPUTED_VALUE"""),"Spicy, Sweeteners")</f>
        <v>Spicy, Sweeteners</v>
      </c>
      <c r="K168" s="2" t="s">
        <v>74</v>
      </c>
      <c r="L168" s="2" t="s">
        <v>20</v>
      </c>
    </row>
    <row r="169">
      <c r="A169" s="2" t="s">
        <v>404</v>
      </c>
      <c r="B169" s="2" t="s">
        <v>94</v>
      </c>
      <c r="C169" s="2" t="s">
        <v>405</v>
      </c>
      <c r="D169" s="2" t="str">
        <f>IFERROR(__xludf.DUMMYFUNCTION("""COMPUTED_VALUE"""),"Berries, Sweeteners")</f>
        <v>Berries, Sweeteners</v>
      </c>
      <c r="E169" s="2" t="s">
        <v>18</v>
      </c>
      <c r="J169" s="2" t="s">
        <v>316</v>
      </c>
      <c r="L169" s="2" t="s">
        <v>20</v>
      </c>
    </row>
    <row r="170">
      <c r="A170" s="2" t="s">
        <v>406</v>
      </c>
      <c r="B170" s="2" t="s">
        <v>94</v>
      </c>
      <c r="C170" s="2" t="s">
        <v>407</v>
      </c>
      <c r="D170" s="2" t="str">
        <f>IFERROR(__xludf.DUMMYFUNCTION("""COMPUTED_VALUE"""),"Nightshades, Alliums, Dried Herbs &amp; Spices, Spicy")</f>
        <v>Nightshades, Alliums, Dried Herbs &amp; Spices, Spicy</v>
      </c>
      <c r="I170" s="2" t="s">
        <v>57</v>
      </c>
      <c r="K170" s="2" t="s">
        <v>71</v>
      </c>
    </row>
    <row r="171">
      <c r="A171" s="2" t="s">
        <v>408</v>
      </c>
      <c r="B171" s="2" t="s">
        <v>94</v>
      </c>
      <c r="C171" s="2" t="s">
        <v>409</v>
      </c>
      <c r="D171" s="2" t="str">
        <f>IFERROR(__xludf.DUMMYFUNCTION("""COMPUTED_VALUE"""),"#N/A")</f>
        <v>#N/A</v>
      </c>
      <c r="E171" s="2" t="s">
        <v>18</v>
      </c>
    </row>
    <row r="172">
      <c r="A172" s="2" t="s">
        <v>410</v>
      </c>
      <c r="B172" s="2" t="s">
        <v>94</v>
      </c>
      <c r="C172" s="2" t="s">
        <v>411</v>
      </c>
      <c r="D172" s="2" t="str">
        <f>IFERROR(__xludf.DUMMYFUNCTION("""COMPUTED_VALUE"""),"Dried Herbs &amp; Spices, Spicy")</f>
        <v>Dried Herbs &amp; Spices, Spicy</v>
      </c>
      <c r="K172" s="2" t="s">
        <v>71</v>
      </c>
    </row>
    <row r="173">
      <c r="A173" s="2" t="s">
        <v>412</v>
      </c>
      <c r="B173" s="2" t="s">
        <v>94</v>
      </c>
      <c r="C173" s="2" t="s">
        <v>413</v>
      </c>
      <c r="D173" s="2" t="str">
        <f>IFERROR(__xludf.DUMMYFUNCTION("""COMPUTED_VALUE"""),"Dried Herbs &amp; Spices, Spicy")</f>
        <v>Dried Herbs &amp; Spices, Spicy</v>
      </c>
      <c r="K173" s="2" t="s">
        <v>71</v>
      </c>
    </row>
    <row r="174">
      <c r="A174" s="2" t="s">
        <v>414</v>
      </c>
      <c r="B174" s="2" t="s">
        <v>94</v>
      </c>
      <c r="C174" s="2" t="s">
        <v>415</v>
      </c>
      <c r="D174" s="2" t="str">
        <f>IFERROR(__xludf.DUMMYFUNCTION("""COMPUTED_VALUE"""),"Others")</f>
        <v>Others</v>
      </c>
      <c r="M174" s="2" t="s">
        <v>11</v>
      </c>
    </row>
    <row r="175">
      <c r="A175" s="2" t="s">
        <v>416</v>
      </c>
      <c r="B175" s="2" t="s">
        <v>94</v>
      </c>
      <c r="C175" s="2" t="s">
        <v>417</v>
      </c>
      <c r="D175" s="2" t="str">
        <f>IFERROR(__xludf.DUMMYFUNCTION("""COMPUTED_VALUE"""),"#N/A")</f>
        <v>#N/A</v>
      </c>
      <c r="E175" s="2" t="s">
        <v>18</v>
      </c>
    </row>
    <row r="176">
      <c r="A176" s="2" t="s">
        <v>418</v>
      </c>
      <c r="B176" s="2" t="s">
        <v>94</v>
      </c>
      <c r="C176" s="2" t="s">
        <v>419</v>
      </c>
      <c r="D176" s="2" t="str">
        <f>IFERROR(__xludf.DUMMYFUNCTION("""COMPUTED_VALUE"""),"#N/A")</f>
        <v>#N/A</v>
      </c>
      <c r="E176" s="2" t="s">
        <v>18</v>
      </c>
    </row>
    <row r="177">
      <c r="A177" s="2" t="s">
        <v>420</v>
      </c>
      <c r="B177" s="2" t="s">
        <v>94</v>
      </c>
      <c r="C177" s="2" t="s">
        <v>421</v>
      </c>
      <c r="D177" s="2" t="str">
        <f>IFERROR(__xludf.DUMMYFUNCTION("""COMPUTED_VALUE"""),"#N/A")</f>
        <v>#N/A</v>
      </c>
      <c r="E177" s="2" t="s">
        <v>18</v>
      </c>
    </row>
    <row r="178">
      <c r="A178" s="2" t="s">
        <v>422</v>
      </c>
      <c r="B178" s="2" t="s">
        <v>94</v>
      </c>
      <c r="C178" s="2" t="s">
        <v>423</v>
      </c>
      <c r="D178" s="2" t="str">
        <f>IFERROR(__xludf.DUMMYFUNCTION("""COMPUTED_VALUE"""),"#N/A")</f>
        <v>#N/A</v>
      </c>
      <c r="E178" s="2" t="s">
        <v>18</v>
      </c>
    </row>
    <row r="179">
      <c r="A179" s="2" t="s">
        <v>424</v>
      </c>
      <c r="B179" s="2" t="s">
        <v>94</v>
      </c>
      <c r="C179" s="2" t="s">
        <v>425</v>
      </c>
      <c r="D179" s="2" t="str">
        <f>IFERROR(__xludf.DUMMYFUNCTION("""COMPUTED_VALUE"""),"#N/A")</f>
        <v>#N/A</v>
      </c>
      <c r="E179" s="2" t="s">
        <v>18</v>
      </c>
    </row>
    <row r="180">
      <c r="A180" s="2" t="s">
        <v>426</v>
      </c>
      <c r="B180" s="2" t="s">
        <v>94</v>
      </c>
      <c r="C180" s="2" t="s">
        <v>427</v>
      </c>
      <c r="D180" s="2" t="str">
        <f>IFERROR(__xludf.DUMMYFUNCTION("""COMPUTED_VALUE"""),"#N/A")</f>
        <v>#N/A</v>
      </c>
      <c r="E180" s="2" t="s">
        <v>18</v>
      </c>
    </row>
    <row r="181">
      <c r="A181" s="2" t="s">
        <v>428</v>
      </c>
      <c r="B181" s="2" t="s">
        <v>94</v>
      </c>
      <c r="C181" s="2" t="s">
        <v>429</v>
      </c>
      <c r="D181" s="2" t="str">
        <f>IFERROR(__xludf.DUMMYFUNCTION("""COMPUTED_VALUE"""),"#N/A")</f>
        <v>#N/A</v>
      </c>
      <c r="E181" s="2" t="s">
        <v>18</v>
      </c>
    </row>
    <row r="182">
      <c r="A182" s="2" t="s">
        <v>430</v>
      </c>
      <c r="B182" s="2" t="s">
        <v>94</v>
      </c>
      <c r="C182" s="2" t="s">
        <v>431</v>
      </c>
      <c r="D182" s="2" t="str">
        <f>IFERROR(__xludf.DUMMYFUNCTION("""COMPUTED_VALUE"""),"#N/A")</f>
        <v>#N/A</v>
      </c>
      <c r="E182" s="2" t="s">
        <v>18</v>
      </c>
    </row>
    <row r="183">
      <c r="A183" s="2" t="s">
        <v>432</v>
      </c>
      <c r="B183" s="2" t="s">
        <v>94</v>
      </c>
      <c r="C183" s="2" t="s">
        <v>433</v>
      </c>
      <c r="D183" s="2" t="str">
        <f>IFERROR(__xludf.DUMMYFUNCTION("""COMPUTED_VALUE"""),"#N/A")</f>
        <v>#N/A</v>
      </c>
      <c r="E183" s="2" t="s">
        <v>18</v>
      </c>
    </row>
    <row r="184">
      <c r="A184" s="2" t="s">
        <v>434</v>
      </c>
      <c r="B184" s="2" t="s">
        <v>94</v>
      </c>
      <c r="C184" s="2" t="s">
        <v>435</v>
      </c>
      <c r="D184" s="2" t="str">
        <f>IFERROR(__xludf.DUMMYFUNCTION("""COMPUTED_VALUE"""),"Dried Herbs &amp; Spices, Sweeteners, Caffeine")</f>
        <v>Dried Herbs &amp; Spices, Sweeteners, Caffeine</v>
      </c>
      <c r="E184" s="2" t="s">
        <v>18</v>
      </c>
      <c r="K184" s="2" t="s">
        <v>27</v>
      </c>
      <c r="L184" s="2" t="s">
        <v>436</v>
      </c>
    </row>
    <row r="185">
      <c r="A185" s="2" t="s">
        <v>437</v>
      </c>
      <c r="B185" s="2" t="s">
        <v>94</v>
      </c>
      <c r="C185" s="2" t="s">
        <v>438</v>
      </c>
      <c r="D185" s="2" t="str">
        <f>IFERROR(__xludf.DUMMYFUNCTION("""COMPUTED_VALUE"""),"Dried Herbs &amp; Spices, Sweeteners, Caffeine")</f>
        <v>Dried Herbs &amp; Spices, Sweeteners, Caffeine</v>
      </c>
      <c r="E185" s="2" t="s">
        <v>18</v>
      </c>
      <c r="K185" s="2" t="s">
        <v>27</v>
      </c>
      <c r="L185" s="2" t="s">
        <v>436</v>
      </c>
    </row>
    <row r="186">
      <c r="A186" s="2" t="s">
        <v>439</v>
      </c>
      <c r="B186" s="2" t="s">
        <v>94</v>
      </c>
      <c r="C186" s="2" t="s">
        <v>440</v>
      </c>
      <c r="D186" s="2" t="str">
        <f>IFERROR(__xludf.DUMMYFUNCTION("""COMPUTED_VALUE"""),"#N/A")</f>
        <v>#N/A</v>
      </c>
      <c r="E186" s="2" t="s">
        <v>18</v>
      </c>
    </row>
    <row r="187">
      <c r="A187" s="2" t="s">
        <v>441</v>
      </c>
      <c r="B187" s="2" t="s">
        <v>94</v>
      </c>
      <c r="C187" s="2" t="s">
        <v>442</v>
      </c>
      <c r="D187" s="2" t="str">
        <f>IFERROR(__xludf.DUMMYFUNCTION("""COMPUTED_VALUE"""),"#N/A")</f>
        <v>#N/A</v>
      </c>
      <c r="E187" s="2" t="s">
        <v>18</v>
      </c>
    </row>
    <row r="188">
      <c r="A188" s="2" t="s">
        <v>443</v>
      </c>
      <c r="B188" s="2" t="s">
        <v>94</v>
      </c>
      <c r="C188" s="2" t="s">
        <v>444</v>
      </c>
      <c r="D188" s="2" t="str">
        <f>IFERROR(__xludf.DUMMYFUNCTION("""COMPUTED_VALUE"""),"Non-Dairy Milk, Tropical Fruits")</f>
        <v>Non-Dairy Milk, Tropical Fruits</v>
      </c>
      <c r="F188" s="2" t="s">
        <v>445</v>
      </c>
      <c r="J188" s="2" t="s">
        <v>133</v>
      </c>
    </row>
    <row r="189">
      <c r="A189" s="2" t="s">
        <v>446</v>
      </c>
      <c r="B189" s="2" t="s">
        <v>94</v>
      </c>
      <c r="C189" s="2" t="s">
        <v>447</v>
      </c>
      <c r="D189" s="2" t="str">
        <f>IFERROR(__xludf.DUMMYFUNCTION("""COMPUTED_VALUE"""),"#N/A")</f>
        <v>#N/A</v>
      </c>
      <c r="E189" s="2" t="s">
        <v>30</v>
      </c>
    </row>
    <row r="190">
      <c r="A190" s="2" t="s">
        <v>448</v>
      </c>
      <c r="B190" s="2" t="s">
        <v>94</v>
      </c>
      <c r="C190" s="2" t="s">
        <v>449</v>
      </c>
      <c r="D190" s="2" t="str">
        <f>IFERROR(__xludf.DUMMYFUNCTION("""COMPUTED_VALUE"""),"Non-Dairy Milk, Tree Nuts")</f>
        <v>Non-Dairy Milk, Tree Nuts</v>
      </c>
      <c r="F190" s="2" t="s">
        <v>445</v>
      </c>
      <c r="H190" s="2" t="s">
        <v>44</v>
      </c>
    </row>
    <row r="191">
      <c r="A191" s="2" t="s">
        <v>450</v>
      </c>
      <c r="B191" s="2" t="s">
        <v>94</v>
      </c>
      <c r="C191" s="2" t="s">
        <v>451</v>
      </c>
      <c r="D191" s="2" t="str">
        <f>IFERROR(__xludf.DUMMYFUNCTION("""COMPUTED_VALUE"""),"Dried Herbs &amp; Spices, Sweeteners, Caffeine")</f>
        <v>Dried Herbs &amp; Spices, Sweeteners, Caffeine</v>
      </c>
      <c r="E191" s="2" t="s">
        <v>18</v>
      </c>
      <c r="K191" s="2" t="s">
        <v>27</v>
      </c>
      <c r="L191" s="2" t="s">
        <v>436</v>
      </c>
    </row>
    <row r="192">
      <c r="A192" s="2" t="s">
        <v>452</v>
      </c>
      <c r="B192" s="2" t="s">
        <v>94</v>
      </c>
      <c r="C192" s="2" t="s">
        <v>453</v>
      </c>
      <c r="D192" s="2" t="str">
        <f>IFERROR(__xludf.DUMMYFUNCTION("""COMPUTED_VALUE"""),"Gluten-Free Grains")</f>
        <v>Gluten-Free Grains</v>
      </c>
      <c r="G192" s="2" t="s">
        <v>60</v>
      </c>
    </row>
    <row r="193">
      <c r="A193" s="2" t="s">
        <v>454</v>
      </c>
      <c r="B193" s="2" t="s">
        <v>94</v>
      </c>
      <c r="C193" s="2" t="s">
        <v>455</v>
      </c>
      <c r="D193" s="2" t="str">
        <f>IFERROR(__xludf.DUMMYFUNCTION("""COMPUTED_VALUE"""),"Wheat, Sweeteners")</f>
        <v>Wheat, Sweeteners</v>
      </c>
      <c r="G193" s="2" t="s">
        <v>19</v>
      </c>
      <c r="L193" s="2" t="s">
        <v>20</v>
      </c>
    </row>
    <row r="194">
      <c r="A194" s="2" t="s">
        <v>456</v>
      </c>
      <c r="B194" s="2" t="s">
        <v>94</v>
      </c>
      <c r="C194" s="2" t="s">
        <v>457</v>
      </c>
      <c r="D194" s="2" t="str">
        <f>IFERROR(__xludf.DUMMYFUNCTION("""COMPUTED_VALUE"""),"Fresh Herbs")</f>
        <v>Fresh Herbs</v>
      </c>
      <c r="K194" s="2" t="s">
        <v>332</v>
      </c>
    </row>
    <row r="195">
      <c r="A195" s="2" t="s">
        <v>458</v>
      </c>
      <c r="B195" s="2" t="s">
        <v>94</v>
      </c>
      <c r="C195" s="2" t="s">
        <v>459</v>
      </c>
      <c r="D195" s="2" t="str">
        <f>IFERROR(__xludf.DUMMYFUNCTION("""COMPUTED_VALUE"""),"#N/A")</f>
        <v>#N/A</v>
      </c>
      <c r="E195" s="2" t="s">
        <v>92</v>
      </c>
    </row>
    <row r="196">
      <c r="A196" s="2" t="s">
        <v>460</v>
      </c>
      <c r="B196" s="2" t="s">
        <v>13</v>
      </c>
      <c r="C196" s="2" t="s">
        <v>461</v>
      </c>
      <c r="D196" s="2" t="str">
        <f>IFERROR(__xludf.DUMMYFUNCTION("""COMPUTED_VALUE"""),"Alliums")</f>
        <v>Alliums</v>
      </c>
      <c r="I196" s="2" t="s">
        <v>70</v>
      </c>
    </row>
    <row r="197">
      <c r="A197" s="2" t="s">
        <v>462</v>
      </c>
      <c r="B197" s="2" t="s">
        <v>13</v>
      </c>
      <c r="C197" s="2" t="s">
        <v>463</v>
      </c>
      <c r="D197" s="2" t="str">
        <f>IFERROR(__xludf.DUMMYFUNCTION("""COMPUTED_VALUE"""),"#N/A")</f>
        <v>#N/A</v>
      </c>
      <c r="E197" s="2" t="s">
        <v>464</v>
      </c>
    </row>
    <row r="198">
      <c r="A198" s="2" t="s">
        <v>465</v>
      </c>
      <c r="B198" s="2" t="s">
        <v>13</v>
      </c>
      <c r="C198" s="2" t="s">
        <v>466</v>
      </c>
      <c r="D198" s="2" t="str">
        <f>IFERROR(__xludf.DUMMYFUNCTION("""COMPUTED_VALUE"""),"Alliums")</f>
        <v>Alliums</v>
      </c>
      <c r="I198" s="2" t="s">
        <v>70</v>
      </c>
    </row>
    <row r="199">
      <c r="A199" s="2" t="s">
        <v>467</v>
      </c>
      <c r="B199" s="2" t="s">
        <v>13</v>
      </c>
      <c r="C199" s="2" t="s">
        <v>468</v>
      </c>
      <c r="D199" s="2" t="str">
        <f>IFERROR(__xludf.DUMMYFUNCTION("""COMPUTED_VALUE"""),"Fresh Herbs")</f>
        <v>Fresh Herbs</v>
      </c>
      <c r="K199" s="2" t="s">
        <v>332</v>
      </c>
    </row>
    <row r="200">
      <c r="A200" s="2" t="s">
        <v>469</v>
      </c>
      <c r="B200" s="2" t="s">
        <v>94</v>
      </c>
      <c r="C200" s="2" t="s">
        <v>470</v>
      </c>
      <c r="D200" s="2" t="str">
        <f>IFERROR(__xludf.DUMMYFUNCTION("""COMPUTED_VALUE"""),"#N/A")</f>
        <v>#N/A</v>
      </c>
      <c r="E200" s="2" t="s">
        <v>471</v>
      </c>
    </row>
    <row r="201">
      <c r="A201" s="2" t="s">
        <v>472</v>
      </c>
      <c r="B201" s="2" t="s">
        <v>94</v>
      </c>
      <c r="C201" s="2" t="s">
        <v>473</v>
      </c>
      <c r="D201" s="2" t="str">
        <f>IFERROR(__xludf.DUMMYFUNCTION("""COMPUTED_VALUE"""),"Alliums")</f>
        <v>Alliums</v>
      </c>
      <c r="I201" s="2" t="s">
        <v>70</v>
      </c>
    </row>
    <row r="202">
      <c r="A202" s="2" t="s">
        <v>474</v>
      </c>
      <c r="B202" s="2" t="s">
        <v>94</v>
      </c>
      <c r="C202" s="2" t="s">
        <v>475</v>
      </c>
      <c r="D202" s="2" t="str">
        <f>IFERROR(__xludf.DUMMYFUNCTION("""COMPUTED_VALUE"""),"#N/A")</f>
        <v>#N/A</v>
      </c>
      <c r="E202" s="2" t="s">
        <v>476</v>
      </c>
    </row>
    <row r="203">
      <c r="A203" s="2" t="s">
        <v>477</v>
      </c>
      <c r="B203" s="2" t="s">
        <v>94</v>
      </c>
      <c r="C203" s="2" t="s">
        <v>478</v>
      </c>
      <c r="D203" s="2" t="str">
        <f>IFERROR(__xludf.DUMMYFUNCTION("""COMPUTED_VALUE"""),"Dried Herbs &amp; Spices, Sweeteners")</f>
        <v>Dried Herbs &amp; Spices, Sweeteners</v>
      </c>
      <c r="K203" s="2" t="s">
        <v>27</v>
      </c>
      <c r="L203" s="2" t="s">
        <v>20</v>
      </c>
    </row>
    <row r="204">
      <c r="A204" s="2" t="s">
        <v>479</v>
      </c>
      <c r="B204" s="2" t="s">
        <v>94</v>
      </c>
      <c r="C204" s="2" t="s">
        <v>480</v>
      </c>
      <c r="D204" s="2" t="str">
        <f>IFERROR(__xludf.DUMMYFUNCTION("""COMPUTED_VALUE"""),"Wheat, Beans, Nightshades, Alliums, Dried Herbs &amp; Spices")</f>
        <v>Wheat, Beans, Nightshades, Alliums, Dried Herbs &amp; Spices</v>
      </c>
      <c r="G204" s="2" t="s">
        <v>19</v>
      </c>
      <c r="H204" s="2" t="s">
        <v>296</v>
      </c>
      <c r="I204" s="2" t="s">
        <v>57</v>
      </c>
      <c r="K204" s="2" t="s">
        <v>27</v>
      </c>
    </row>
    <row r="205">
      <c r="A205" s="2" t="s">
        <v>481</v>
      </c>
      <c r="B205" s="2" t="s">
        <v>94</v>
      </c>
      <c r="C205" s="2" t="s">
        <v>482</v>
      </c>
      <c r="D205" s="2" t="str">
        <f>IFERROR(__xludf.DUMMYFUNCTION("""COMPUTED_VALUE"""),"Nightshades, Alliums, Dried Herbs &amp; Spices, Sweeteners")</f>
        <v>Nightshades, Alliums, Dried Herbs &amp; Spices, Sweeteners</v>
      </c>
      <c r="I205" s="2" t="s">
        <v>57</v>
      </c>
      <c r="K205" s="2" t="s">
        <v>27</v>
      </c>
      <c r="L205" s="2" t="s">
        <v>20</v>
      </c>
    </row>
    <row r="206">
      <c r="A206" s="2" t="s">
        <v>483</v>
      </c>
      <c r="B206" s="2" t="s">
        <v>94</v>
      </c>
      <c r="C206" s="2" t="s">
        <v>484</v>
      </c>
      <c r="D206" s="2" t="str">
        <f>IFERROR(__xludf.DUMMYFUNCTION("""COMPUTED_VALUE"""),"Alliums, Dried Herbs &amp; Spices")</f>
        <v>Alliums, Dried Herbs &amp; Spices</v>
      </c>
      <c r="I206" s="2" t="s">
        <v>70</v>
      </c>
      <c r="K206" s="2" t="s">
        <v>27</v>
      </c>
    </row>
    <row r="207">
      <c r="A207" s="2" t="s">
        <v>485</v>
      </c>
      <c r="B207" s="2" t="s">
        <v>94</v>
      </c>
      <c r="C207" s="2" t="s">
        <v>486</v>
      </c>
      <c r="D207" s="2" t="str">
        <f>IFERROR(__xludf.DUMMYFUNCTION("""COMPUTED_VALUE"""),"Alliums, Dried Herbs &amp; Spices")</f>
        <v>Alliums, Dried Herbs &amp; Spices</v>
      </c>
      <c r="I207" s="2" t="s">
        <v>70</v>
      </c>
      <c r="K207" s="2" t="s">
        <v>27</v>
      </c>
    </row>
    <row r="208">
      <c r="A208" s="2" t="s">
        <v>487</v>
      </c>
      <c r="B208" s="2" t="s">
        <v>94</v>
      </c>
      <c r="C208" s="2" t="s">
        <v>488</v>
      </c>
      <c r="D208" s="2" t="str">
        <f>IFERROR(__xludf.DUMMYFUNCTION("""COMPUTED_VALUE"""),"Alliums, Dried Herbs &amp; Spices")</f>
        <v>Alliums, Dried Herbs &amp; Spices</v>
      </c>
      <c r="I208" s="2" t="s">
        <v>70</v>
      </c>
      <c r="K208" s="2" t="s">
        <v>27</v>
      </c>
    </row>
    <row r="209">
      <c r="A209" s="2" t="s">
        <v>489</v>
      </c>
      <c r="B209" s="2" t="s">
        <v>94</v>
      </c>
      <c r="C209" s="2" t="s">
        <v>490</v>
      </c>
      <c r="D209" s="2" t="str">
        <f>IFERROR(__xludf.DUMMYFUNCTION("""COMPUTED_VALUE"""),"Alliums, Dried Herbs &amp; Spices")</f>
        <v>Alliums, Dried Herbs &amp; Spices</v>
      </c>
      <c r="I209" s="2" t="s">
        <v>70</v>
      </c>
      <c r="K209" s="2" t="s">
        <v>27</v>
      </c>
    </row>
    <row r="210">
      <c r="A210" s="2" t="s">
        <v>491</v>
      </c>
      <c r="B210" s="2" t="s">
        <v>94</v>
      </c>
      <c r="C210" s="2" t="s">
        <v>492</v>
      </c>
      <c r="D210" s="2" t="str">
        <f>IFERROR(__xludf.DUMMYFUNCTION("""COMPUTED_VALUE"""),"Nightshades, Alliums, Dried Herbs &amp; Spices")</f>
        <v>Nightshades, Alliums, Dried Herbs &amp; Spices</v>
      </c>
      <c r="I210" s="2" t="s">
        <v>57</v>
      </c>
      <c r="K210" s="2" t="s">
        <v>27</v>
      </c>
    </row>
    <row r="211">
      <c r="A211" s="2" t="s">
        <v>493</v>
      </c>
      <c r="B211" s="2" t="s">
        <v>94</v>
      </c>
      <c r="C211" s="2" t="s">
        <v>494</v>
      </c>
      <c r="D211" s="2" t="str">
        <f>IFERROR(__xludf.DUMMYFUNCTION("""COMPUTED_VALUE"""),"Wheat")</f>
        <v>Wheat</v>
      </c>
      <c r="G211" s="2" t="s">
        <v>19</v>
      </c>
    </row>
    <row r="212">
      <c r="A212" s="2" t="s">
        <v>495</v>
      </c>
      <c r="B212" s="2" t="s">
        <v>94</v>
      </c>
      <c r="C212" s="2" t="s">
        <v>496</v>
      </c>
      <c r="D212" s="2" t="str">
        <f>IFERROR(__xludf.DUMMYFUNCTION("""COMPUTED_VALUE"""),"Wheat, Alliums, Dried Herbs &amp; Spices")</f>
        <v>Wheat, Alliums, Dried Herbs &amp; Spices</v>
      </c>
      <c r="G212" s="2" t="s">
        <v>19</v>
      </c>
      <c r="I212" s="2" t="s">
        <v>70</v>
      </c>
      <c r="K212" s="2" t="s">
        <v>27</v>
      </c>
    </row>
    <row r="213">
      <c r="A213" s="2" t="s">
        <v>497</v>
      </c>
      <c r="B213" s="2" t="s">
        <v>94</v>
      </c>
      <c r="C213" s="2" t="s">
        <v>498</v>
      </c>
      <c r="D213" s="2" t="str">
        <f>IFERROR(__xludf.DUMMYFUNCTION("""COMPUTED_VALUE"""),"Peanuts, Sweeteners, Caffeine")</f>
        <v>Peanuts, Sweeteners, Caffeine</v>
      </c>
      <c r="H213" s="2" t="s">
        <v>47</v>
      </c>
      <c r="L213" s="2" t="s">
        <v>436</v>
      </c>
    </row>
    <row r="214">
      <c r="A214" s="2" t="s">
        <v>499</v>
      </c>
      <c r="B214" s="2" t="s">
        <v>94</v>
      </c>
      <c r="C214" s="2" t="s">
        <v>500</v>
      </c>
      <c r="D214" s="2" t="str">
        <f>IFERROR(__xludf.DUMMYFUNCTION("""COMPUTED_VALUE"""),"Wheat")</f>
        <v>Wheat</v>
      </c>
      <c r="G214" s="2" t="s">
        <v>19</v>
      </c>
    </row>
    <row r="215">
      <c r="A215" s="2" t="s">
        <v>501</v>
      </c>
      <c r="B215" s="2" t="s">
        <v>94</v>
      </c>
      <c r="C215" s="2" t="s">
        <v>502</v>
      </c>
      <c r="D215" s="2" t="str">
        <f>IFERROR(__xludf.DUMMYFUNCTION("""COMPUTED_VALUE"""),"Wheat, Sweeteners")</f>
        <v>Wheat, Sweeteners</v>
      </c>
      <c r="G215" s="2" t="s">
        <v>19</v>
      </c>
      <c r="L215" s="2" t="s">
        <v>20</v>
      </c>
    </row>
    <row r="216">
      <c r="A216" s="2" t="s">
        <v>503</v>
      </c>
      <c r="B216" s="2" t="s">
        <v>94</v>
      </c>
      <c r="C216" s="2" t="s">
        <v>504</v>
      </c>
      <c r="D216" s="2" t="str">
        <f>IFERROR(__xludf.DUMMYFUNCTION("""COMPUTED_VALUE"""),"Sweeteners, Caffeine")</f>
        <v>Sweeteners, Caffeine</v>
      </c>
      <c r="L216" s="2" t="s">
        <v>436</v>
      </c>
    </row>
    <row r="217">
      <c r="A217" s="2" t="s">
        <v>505</v>
      </c>
      <c r="B217" s="2" t="s">
        <v>94</v>
      </c>
      <c r="C217" s="2" t="s">
        <v>506</v>
      </c>
      <c r="D217" s="2" t="str">
        <f>IFERROR(__xludf.DUMMYFUNCTION("""COMPUTED_VALUE"""),"Sweeteners")</f>
        <v>Sweeteners</v>
      </c>
      <c r="L217" s="2" t="s">
        <v>20</v>
      </c>
    </row>
    <row r="218">
      <c r="A218" s="2" t="s">
        <v>507</v>
      </c>
      <c r="B218" s="2" t="s">
        <v>94</v>
      </c>
      <c r="C218" s="2" t="s">
        <v>508</v>
      </c>
      <c r="D218" s="2" t="str">
        <f>IFERROR(__xludf.DUMMYFUNCTION("""COMPUTED_VALUE"""),"Alliums, Spicy, Sweeteners")</f>
        <v>Alliums, Spicy, Sweeteners</v>
      </c>
      <c r="E218" s="2" t="s">
        <v>464</v>
      </c>
      <c r="I218" s="2" t="s">
        <v>70</v>
      </c>
      <c r="K218" s="2" t="s">
        <v>74</v>
      </c>
      <c r="L218" s="2" t="s">
        <v>20</v>
      </c>
    </row>
    <row r="219">
      <c r="A219" s="2" t="s">
        <v>509</v>
      </c>
      <c r="B219" s="2" t="s">
        <v>94</v>
      </c>
      <c r="C219" s="2" t="s">
        <v>510</v>
      </c>
      <c r="D219" s="2" t="str">
        <f>IFERROR(__xludf.DUMMYFUNCTION("""COMPUTED_VALUE"""),"Sweeteners, Caffeine")</f>
        <v>Sweeteners, Caffeine</v>
      </c>
      <c r="L219" s="2" t="s">
        <v>436</v>
      </c>
    </row>
    <row r="220">
      <c r="A220" s="2" t="s">
        <v>511</v>
      </c>
      <c r="B220" s="2" t="s">
        <v>94</v>
      </c>
      <c r="C220" s="2" t="s">
        <v>512</v>
      </c>
      <c r="D220" s="2" t="str">
        <f>IFERROR(__xludf.DUMMYFUNCTION("""COMPUTED_VALUE"""),"Lactose-Free, Wheat")</f>
        <v>Lactose-Free, Wheat</v>
      </c>
      <c r="F220" s="2" t="s">
        <v>100</v>
      </c>
      <c r="G220" s="2" t="s">
        <v>19</v>
      </c>
    </row>
    <row r="221">
      <c r="A221" s="2" t="s">
        <v>513</v>
      </c>
      <c r="B221" s="2" t="s">
        <v>94</v>
      </c>
      <c r="C221" s="2" t="s">
        <v>514</v>
      </c>
      <c r="D221" s="2" t="str">
        <f>IFERROR(__xludf.DUMMYFUNCTION("""COMPUTED_VALUE"""),"Lactose-Free, Wheat")</f>
        <v>Lactose-Free, Wheat</v>
      </c>
      <c r="F221" s="2" t="s">
        <v>100</v>
      </c>
      <c r="G221" s="2" t="s">
        <v>19</v>
      </c>
    </row>
    <row r="222">
      <c r="A222" s="2" t="s">
        <v>515</v>
      </c>
      <c r="B222" s="2" t="s">
        <v>13</v>
      </c>
      <c r="C222" s="2" t="s">
        <v>516</v>
      </c>
      <c r="D222" s="2" t="str">
        <f>IFERROR(__xludf.DUMMYFUNCTION("""COMPUTED_VALUE"""),"Fresh Herbs")</f>
        <v>Fresh Herbs</v>
      </c>
      <c r="K222" s="2" t="s">
        <v>332</v>
      </c>
    </row>
    <row r="223">
      <c r="A223" s="2" t="s">
        <v>517</v>
      </c>
      <c r="B223" s="2" t="s">
        <v>94</v>
      </c>
      <c r="C223" s="2" t="s">
        <v>518</v>
      </c>
      <c r="D223" s="2" t="str">
        <f>IFERROR(__xludf.DUMMYFUNCTION("""COMPUTED_VALUE"""),"Fresh Herbs, Sweeteners")</f>
        <v>Fresh Herbs, Sweeteners</v>
      </c>
      <c r="K223" s="2" t="s">
        <v>332</v>
      </c>
      <c r="L223" s="2" t="s">
        <v>20</v>
      </c>
    </row>
    <row r="224">
      <c r="A224" s="2" t="s">
        <v>519</v>
      </c>
      <c r="B224" s="2" t="s">
        <v>94</v>
      </c>
      <c r="C224" s="2" t="s">
        <v>520</v>
      </c>
      <c r="D224" s="2" t="str">
        <f>IFERROR(__xludf.DUMMYFUNCTION("""COMPUTED_VALUE"""),"Fresh Herbs, Sweeteners")</f>
        <v>Fresh Herbs, Sweeteners</v>
      </c>
      <c r="K224" s="2" t="s">
        <v>332</v>
      </c>
      <c r="L224" s="2" t="s">
        <v>20</v>
      </c>
    </row>
    <row r="225">
      <c r="A225" s="2" t="s">
        <v>521</v>
      </c>
      <c r="B225" s="2" t="s">
        <v>13</v>
      </c>
      <c r="C225" s="2" t="s">
        <v>522</v>
      </c>
      <c r="D225" s="2" t="str">
        <f>IFERROR(__xludf.DUMMYFUNCTION("""COMPUTED_VALUE"""),"Fresh Herbs")</f>
        <v>Fresh Herbs</v>
      </c>
      <c r="K225" s="2" t="s">
        <v>332</v>
      </c>
    </row>
    <row r="226">
      <c r="A226" s="2" t="s">
        <v>523</v>
      </c>
      <c r="B226" s="2" t="s">
        <v>94</v>
      </c>
      <c r="C226" s="2" t="s">
        <v>524</v>
      </c>
      <c r="D226" s="2" t="str">
        <f>IFERROR(__xludf.DUMMYFUNCTION("""COMPUTED_VALUE"""),"Sweeteners, Alcohol")</f>
        <v>Sweeteners, Alcohol</v>
      </c>
      <c r="L226" s="2" t="s">
        <v>115</v>
      </c>
    </row>
    <row r="227">
      <c r="A227" s="2" t="s">
        <v>525</v>
      </c>
      <c r="B227" s="2" t="s">
        <v>94</v>
      </c>
      <c r="C227" s="2" t="s">
        <v>526</v>
      </c>
      <c r="D227" s="2" t="str">
        <f>IFERROR(__xludf.DUMMYFUNCTION("""COMPUTED_VALUE"""),"Soy, Dried Herbs &amp; Spices")</f>
        <v>Soy, Dried Herbs &amp; Spices</v>
      </c>
      <c r="H227" s="2" t="s">
        <v>65</v>
      </c>
      <c r="K227" s="2" t="s">
        <v>27</v>
      </c>
    </row>
    <row r="228">
      <c r="A228" s="2" t="s">
        <v>527</v>
      </c>
      <c r="B228" s="2" t="s">
        <v>94</v>
      </c>
      <c r="C228" s="2" t="s">
        <v>528</v>
      </c>
      <c r="D228" s="2" t="str">
        <f>IFERROR(__xludf.DUMMYFUNCTION("""COMPUTED_VALUE"""),"Wheat, Soy, Sweeteners")</f>
        <v>Wheat, Soy, Sweeteners</v>
      </c>
      <c r="G228" s="2" t="s">
        <v>19</v>
      </c>
      <c r="H228" s="2" t="s">
        <v>65</v>
      </c>
      <c r="L228" s="2" t="s">
        <v>20</v>
      </c>
    </row>
    <row r="229">
      <c r="A229" s="2" t="s">
        <v>529</v>
      </c>
      <c r="B229" s="2" t="s">
        <v>94</v>
      </c>
      <c r="C229" s="2" t="s">
        <v>530</v>
      </c>
      <c r="D229" s="2" t="str">
        <f>IFERROR(__xludf.DUMMYFUNCTION("""COMPUTED_VALUE"""),"Wheat, Dried Herbs &amp; Spices")</f>
        <v>Wheat, Dried Herbs &amp; Spices</v>
      </c>
      <c r="G229" s="2" t="s">
        <v>19</v>
      </c>
      <c r="K229" s="2" t="s">
        <v>27</v>
      </c>
    </row>
    <row r="230">
      <c r="A230" s="2" t="s">
        <v>531</v>
      </c>
      <c r="B230" s="2" t="s">
        <v>94</v>
      </c>
      <c r="C230" s="2" t="s">
        <v>532</v>
      </c>
      <c r="D230" s="2" t="str">
        <f>IFERROR(__xludf.DUMMYFUNCTION("""COMPUTED_VALUE"""),"Wheat, Sweeteners")</f>
        <v>Wheat, Sweeteners</v>
      </c>
      <c r="G230" s="2" t="s">
        <v>19</v>
      </c>
      <c r="L230" s="2" t="s">
        <v>20</v>
      </c>
    </row>
    <row r="231">
      <c r="A231" s="2" t="s">
        <v>533</v>
      </c>
      <c r="B231" s="2" t="s">
        <v>94</v>
      </c>
      <c r="C231" s="2" t="s">
        <v>534</v>
      </c>
      <c r="D231" s="2" t="str">
        <f>IFERROR(__xludf.DUMMYFUNCTION("""COMPUTED_VALUE"""),"Wheat, Soy")</f>
        <v>Wheat, Soy</v>
      </c>
      <c r="G231" s="2" t="s">
        <v>19</v>
      </c>
      <c r="H231" s="2" t="s">
        <v>65</v>
      </c>
    </row>
    <row r="232">
      <c r="A232" s="2" t="s">
        <v>535</v>
      </c>
      <c r="B232" s="2" t="s">
        <v>94</v>
      </c>
      <c r="C232" s="2" t="s">
        <v>536</v>
      </c>
      <c r="D232" s="2" t="str">
        <f>IFERROR(__xludf.DUMMYFUNCTION("""COMPUTED_VALUE"""),"Wheat, Sweeteners")</f>
        <v>Wheat, Sweeteners</v>
      </c>
      <c r="G232" s="2" t="s">
        <v>19</v>
      </c>
      <c r="L232" s="2" t="s">
        <v>20</v>
      </c>
    </row>
    <row r="233">
      <c r="A233" s="2" t="s">
        <v>537</v>
      </c>
      <c r="B233" s="2" t="s">
        <v>94</v>
      </c>
      <c r="C233" s="2" t="s">
        <v>538</v>
      </c>
      <c r="D233" s="2" t="str">
        <f>IFERROR(__xludf.DUMMYFUNCTION("""COMPUTED_VALUE"""),"Wheat")</f>
        <v>Wheat</v>
      </c>
      <c r="E233" s="2" t="s">
        <v>18</v>
      </c>
      <c r="G233" s="2" t="s">
        <v>19</v>
      </c>
    </row>
    <row r="234">
      <c r="A234" s="2" t="s">
        <v>539</v>
      </c>
      <c r="B234" s="2" t="s">
        <v>94</v>
      </c>
      <c r="C234" s="2" t="s">
        <v>540</v>
      </c>
      <c r="D234" s="2" t="str">
        <f>IFERROR(__xludf.DUMMYFUNCTION("""COMPUTED_VALUE"""),"Wheat, Sweeteners")</f>
        <v>Wheat, Sweeteners</v>
      </c>
      <c r="G234" s="2" t="s">
        <v>19</v>
      </c>
      <c r="L234" s="2" t="s">
        <v>20</v>
      </c>
    </row>
    <row r="235">
      <c r="A235" s="2" t="s">
        <v>541</v>
      </c>
      <c r="B235" s="2" t="s">
        <v>94</v>
      </c>
      <c r="C235" s="2" t="s">
        <v>542</v>
      </c>
      <c r="D235" s="2" t="str">
        <f>IFERROR(__xludf.DUMMYFUNCTION("""COMPUTED_VALUE"""),"Wheat, Dried Herbs &amp; Spices")</f>
        <v>Wheat, Dried Herbs &amp; Spices</v>
      </c>
      <c r="G235" s="2" t="s">
        <v>19</v>
      </c>
      <c r="K235" s="2" t="s">
        <v>27</v>
      </c>
    </row>
    <row r="236">
      <c r="A236" s="2" t="s">
        <v>543</v>
      </c>
      <c r="B236" s="2" t="s">
        <v>94</v>
      </c>
      <c r="C236" s="2" t="s">
        <v>544</v>
      </c>
      <c r="D236" s="2" t="str">
        <f>IFERROR(__xludf.DUMMYFUNCTION("""COMPUTED_VALUE"""),"Corn, Gluten-Free Grains")</f>
        <v>Corn, Gluten-Free Grains</v>
      </c>
      <c r="G236" s="2" t="s">
        <v>545</v>
      </c>
    </row>
    <row r="237">
      <c r="A237" s="2" t="s">
        <v>546</v>
      </c>
      <c r="B237" s="2" t="s">
        <v>94</v>
      </c>
      <c r="C237" s="2" t="s">
        <v>547</v>
      </c>
      <c r="D237" s="2" t="str">
        <f>IFERROR(__xludf.DUMMYFUNCTION("""COMPUTED_VALUE"""),"Wheat, Sweeteners")</f>
        <v>Wheat, Sweeteners</v>
      </c>
      <c r="G237" s="2" t="s">
        <v>19</v>
      </c>
      <c r="L237" s="2" t="s">
        <v>20</v>
      </c>
    </row>
    <row r="238">
      <c r="A238" s="2" t="s">
        <v>548</v>
      </c>
      <c r="B238" s="2" t="s">
        <v>94</v>
      </c>
      <c r="C238" s="2" t="s">
        <v>549</v>
      </c>
      <c r="D238" s="2" t="str">
        <f>IFERROR(__xludf.DUMMYFUNCTION("""COMPUTED_VALUE"""),"Wheat, Beans, Sweeteners")</f>
        <v>Wheat, Beans, Sweeteners</v>
      </c>
      <c r="G238" s="2" t="s">
        <v>19</v>
      </c>
      <c r="H238" s="2" t="s">
        <v>296</v>
      </c>
      <c r="L238" s="2" t="s">
        <v>20</v>
      </c>
    </row>
    <row r="239">
      <c r="A239" s="2" t="s">
        <v>550</v>
      </c>
      <c r="B239" s="2" t="s">
        <v>94</v>
      </c>
      <c r="C239" s="2" t="s">
        <v>551</v>
      </c>
      <c r="D239" s="2" t="str">
        <f>IFERROR(__xludf.DUMMYFUNCTION("""COMPUTED_VALUE"""),"Leafy Greens")</f>
        <v>Leafy Greens</v>
      </c>
      <c r="I239" s="2" t="s">
        <v>399</v>
      </c>
    </row>
    <row r="240">
      <c r="A240" s="2" t="s">
        <v>552</v>
      </c>
      <c r="B240" s="2" t="s">
        <v>94</v>
      </c>
      <c r="C240" s="2" t="s">
        <v>553</v>
      </c>
      <c r="D240" s="2" t="str">
        <f>IFERROR(__xludf.DUMMYFUNCTION("""COMPUTED_VALUE"""),"Nightshades, Cruciferous, Leafy Greens, Mushrooms, Alliums")</f>
        <v>Nightshades, Cruciferous, Leafy Greens, Mushrooms, Alliums</v>
      </c>
      <c r="I240" s="2" t="s">
        <v>356</v>
      </c>
    </row>
    <row r="241">
      <c r="A241" s="2" t="s">
        <v>554</v>
      </c>
      <c r="B241" s="2" t="s">
        <v>94</v>
      </c>
      <c r="C241" s="2" t="s">
        <v>555</v>
      </c>
      <c r="D241" s="2" t="str">
        <f>IFERROR(__xludf.DUMMYFUNCTION("""COMPUTED_VALUE"""),"Beans, Lentils")</f>
        <v>Beans, Lentils</v>
      </c>
      <c r="H241" s="2" t="s">
        <v>556</v>
      </c>
    </row>
    <row r="242">
      <c r="A242" s="2" t="s">
        <v>557</v>
      </c>
      <c r="B242" s="2" t="s">
        <v>94</v>
      </c>
      <c r="C242" s="2" t="s">
        <v>558</v>
      </c>
      <c r="D242" s="2" t="str">
        <f>IFERROR(__xludf.DUMMYFUNCTION("""COMPUTED_VALUE"""),"Berries")</f>
        <v>Berries</v>
      </c>
      <c r="J242" s="2" t="s">
        <v>316</v>
      </c>
    </row>
    <row r="243">
      <c r="A243" s="2" t="s">
        <v>559</v>
      </c>
      <c r="B243" s="2" t="s">
        <v>94</v>
      </c>
      <c r="C243" s="2" t="s">
        <v>560</v>
      </c>
      <c r="D243" s="2" t="str">
        <f>IFERROR(__xludf.DUMMYFUNCTION("""COMPUTED_VALUE"""),"Citrus, Berries, Tropical Fruits, Stone Fruits, Melons")</f>
        <v>Citrus, Berries, Tropical Fruits, Stone Fruits, Melons</v>
      </c>
      <c r="J243" s="2" t="s">
        <v>561</v>
      </c>
    </row>
    <row r="244">
      <c r="A244" s="2" t="s">
        <v>562</v>
      </c>
      <c r="B244" s="2" t="s">
        <v>94</v>
      </c>
      <c r="C244" s="2" t="s">
        <v>563</v>
      </c>
      <c r="D244" s="2" t="str">
        <f>IFERROR(__xludf.DUMMYFUNCTION("""COMPUTED_VALUE"""),"Dried Herbs &amp; Spices")</f>
        <v>Dried Herbs &amp; Spices</v>
      </c>
      <c r="K244" s="2" t="s">
        <v>27</v>
      </c>
    </row>
    <row r="245">
      <c r="A245" s="2" t="s">
        <v>564</v>
      </c>
      <c r="B245" s="2" t="s">
        <v>94</v>
      </c>
      <c r="C245" s="2" t="s">
        <v>565</v>
      </c>
      <c r="D245" s="2" t="str">
        <f>IFERROR(__xludf.DUMMYFUNCTION("""COMPUTED_VALUE"""),"Wheat")</f>
        <v>Wheat</v>
      </c>
      <c r="G245" s="2" t="s">
        <v>19</v>
      </c>
    </row>
    <row r="246">
      <c r="A246" s="2" t="s">
        <v>566</v>
      </c>
      <c r="B246" s="2" t="s">
        <v>94</v>
      </c>
      <c r="C246" s="2" t="s">
        <v>567</v>
      </c>
      <c r="D246" s="2" t="str">
        <f>IFERROR(__xludf.DUMMYFUNCTION("""COMPUTED_VALUE"""),"Fresh Herbs")</f>
        <v>Fresh Herbs</v>
      </c>
      <c r="K246" s="2" t="s">
        <v>332</v>
      </c>
    </row>
    <row r="247">
      <c r="A247" s="2" t="s">
        <v>568</v>
      </c>
      <c r="B247" s="2" t="s">
        <v>94</v>
      </c>
      <c r="C247" s="2" t="s">
        <v>569</v>
      </c>
      <c r="D247" s="2" t="str">
        <f>IFERROR(__xludf.DUMMYFUNCTION("""COMPUTED_VALUE"""),"Leafy Greens")</f>
        <v>Leafy Greens</v>
      </c>
      <c r="I247" s="2" t="s">
        <v>399</v>
      </c>
    </row>
    <row r="248">
      <c r="A248" s="2" t="s">
        <v>570</v>
      </c>
      <c r="B248" s="2" t="s">
        <v>94</v>
      </c>
      <c r="C248" s="2" t="s">
        <v>571</v>
      </c>
      <c r="D248" s="2" t="str">
        <f>IFERROR(__xludf.DUMMYFUNCTION("""COMPUTED_VALUE"""),"Citrus")</f>
        <v>Citrus</v>
      </c>
      <c r="J248" s="2" t="s">
        <v>128</v>
      </c>
    </row>
    <row r="249">
      <c r="A249" s="2" t="s">
        <v>572</v>
      </c>
      <c r="B249" s="2" t="s">
        <v>94</v>
      </c>
      <c r="C249" s="2" t="s">
        <v>573</v>
      </c>
      <c r="D249" s="2" t="str">
        <f>IFERROR(__xludf.DUMMYFUNCTION("""COMPUTED_VALUE"""),"Tree Nuts, Soy, Peanuts")</f>
        <v>Tree Nuts, Soy, Peanuts</v>
      </c>
      <c r="H249" s="2" t="s">
        <v>574</v>
      </c>
    </row>
    <row r="250">
      <c r="A250" s="2" t="s">
        <v>575</v>
      </c>
      <c r="B250" s="2" t="s">
        <v>94</v>
      </c>
      <c r="C250" s="2" t="s">
        <v>576</v>
      </c>
      <c r="D250" s="2" t="str">
        <f>IFERROR(__xludf.DUMMYFUNCTION("""COMPUTED_VALUE"""),"Tree Nuts, Peanuts, Soy")</f>
        <v>Tree Nuts, Peanuts, Soy</v>
      </c>
      <c r="H250" s="2" t="s">
        <v>577</v>
      </c>
    </row>
    <row r="251">
      <c r="A251" s="2" t="s">
        <v>578</v>
      </c>
      <c r="B251" s="2" t="s">
        <v>94</v>
      </c>
      <c r="C251" s="2" t="s">
        <v>579</v>
      </c>
      <c r="D251" s="2" t="str">
        <f>IFERROR(__xludf.DUMMYFUNCTION("""COMPUTED_VALUE"""),"Lactose-Free")</f>
        <v>Lactose-Free</v>
      </c>
      <c r="F251" s="2" t="s">
        <v>100</v>
      </c>
    </row>
    <row r="252">
      <c r="A252" s="2" t="s">
        <v>580</v>
      </c>
      <c r="B252" s="2" t="s">
        <v>94</v>
      </c>
      <c r="C252" s="2" t="s">
        <v>581</v>
      </c>
      <c r="D252" s="2" t="str">
        <f>IFERROR(__xludf.DUMMYFUNCTION("""COMPUTED_VALUE"""),"Sweeteners")</f>
        <v>Sweeteners</v>
      </c>
      <c r="L252" s="2" t="s">
        <v>20</v>
      </c>
    </row>
    <row r="253">
      <c r="A253" s="2" t="s">
        <v>582</v>
      </c>
      <c r="B253" s="2" t="s">
        <v>94</v>
      </c>
      <c r="C253" s="2" t="s">
        <v>583</v>
      </c>
      <c r="D253" s="2" t="str">
        <f>IFERROR(__xludf.DUMMYFUNCTION("""COMPUTED_VALUE"""),"Nightshades, Alliums, Dried Herbs &amp; Spices, Spicy, Sweeteners")</f>
        <v>Nightshades, Alliums, Dried Herbs &amp; Spices, Spicy, Sweeteners</v>
      </c>
      <c r="I253" s="2" t="s">
        <v>57</v>
      </c>
      <c r="K253" s="2" t="s">
        <v>71</v>
      </c>
      <c r="L253" s="2" t="s">
        <v>20</v>
      </c>
    </row>
    <row r="254">
      <c r="A254" s="2" t="s">
        <v>584</v>
      </c>
      <c r="B254" s="2" t="s">
        <v>94</v>
      </c>
      <c r="C254" s="2" t="s">
        <v>585</v>
      </c>
      <c r="D254" s="2" t="str">
        <f>IFERROR(__xludf.DUMMYFUNCTION("""COMPUTED_VALUE"""),"Nightshades, Alliums, Dried Herbs &amp; Spices, Spicy, Sweeteners")</f>
        <v>Nightshades, Alliums, Dried Herbs &amp; Spices, Spicy, Sweeteners</v>
      </c>
      <c r="I254" s="2" t="s">
        <v>57</v>
      </c>
      <c r="K254" s="2" t="s">
        <v>71</v>
      </c>
      <c r="L254" s="2" t="s">
        <v>20</v>
      </c>
    </row>
    <row r="255">
      <c r="A255" s="2" t="s">
        <v>586</v>
      </c>
      <c r="B255" s="2" t="s">
        <v>94</v>
      </c>
      <c r="C255" s="2" t="s">
        <v>587</v>
      </c>
      <c r="D255" s="2" t="str">
        <f>IFERROR(__xludf.DUMMYFUNCTION("""COMPUTED_VALUE"""),"Leafy Greens")</f>
        <v>Leafy Greens</v>
      </c>
      <c r="I255" s="2" t="s">
        <v>399</v>
      </c>
    </row>
    <row r="256">
      <c r="A256" s="2" t="s">
        <v>588</v>
      </c>
      <c r="B256" s="2" t="s">
        <v>94</v>
      </c>
      <c r="C256" s="2" t="s">
        <v>589</v>
      </c>
      <c r="D256" s="2" t="str">
        <f>IFERROR(__xludf.DUMMYFUNCTION("""COMPUTED_VALUE"""),"Sweeteners")</f>
        <v>Sweeteners</v>
      </c>
      <c r="L256" s="2" t="s">
        <v>20</v>
      </c>
    </row>
    <row r="257">
      <c r="A257" s="2" t="s">
        <v>590</v>
      </c>
      <c r="B257" s="2" t="s">
        <v>94</v>
      </c>
      <c r="C257" s="2" t="s">
        <v>591</v>
      </c>
      <c r="D257" s="2" t="str">
        <f>IFERROR(__xludf.DUMMYFUNCTION("""COMPUTED_VALUE"""),"#N/A")</f>
        <v>#N/A</v>
      </c>
      <c r="E257" s="2" t="s">
        <v>30</v>
      </c>
    </row>
    <row r="258">
      <c r="A258" s="2" t="s">
        <v>592</v>
      </c>
      <c r="B258" s="2" t="s">
        <v>94</v>
      </c>
      <c r="C258" s="2" t="s">
        <v>593</v>
      </c>
      <c r="D258" s="2" t="str">
        <f>IFERROR(__xludf.DUMMYFUNCTION("""COMPUTED_VALUE"""),"#N/A")</f>
        <v>#N/A</v>
      </c>
      <c r="E258" s="2" t="s">
        <v>30</v>
      </c>
    </row>
    <row r="259">
      <c r="A259" s="2" t="s">
        <v>594</v>
      </c>
      <c r="B259" s="2" t="s">
        <v>94</v>
      </c>
      <c r="C259" s="2" t="s">
        <v>595</v>
      </c>
      <c r="D259" s="2" t="str">
        <f>IFERROR(__xludf.DUMMYFUNCTION("""COMPUTED_VALUE"""),"#N/A")</f>
        <v>#N/A</v>
      </c>
      <c r="E259" s="2" t="s">
        <v>30</v>
      </c>
    </row>
    <row r="260">
      <c r="A260" s="2" t="s">
        <v>596</v>
      </c>
      <c r="B260" s="2" t="s">
        <v>94</v>
      </c>
      <c r="C260" s="2" t="s">
        <v>597</v>
      </c>
      <c r="D260" s="2" t="str">
        <f>IFERROR(__xludf.DUMMYFUNCTION("""COMPUTED_VALUE"""),"#N/A")</f>
        <v>#N/A</v>
      </c>
      <c r="E260" s="2" t="s">
        <v>18</v>
      </c>
    </row>
    <row r="261">
      <c r="A261" s="2" t="s">
        <v>598</v>
      </c>
      <c r="B261" s="2" t="s">
        <v>94</v>
      </c>
      <c r="C261" s="2" t="s">
        <v>599</v>
      </c>
      <c r="D261" s="2" t="str">
        <f>IFERROR(__xludf.DUMMYFUNCTION("""COMPUTED_VALUE"""),"#N/A")</f>
        <v>#N/A</v>
      </c>
      <c r="E261" s="2" t="s">
        <v>18</v>
      </c>
    </row>
    <row r="262">
      <c r="A262" s="2" t="s">
        <v>600</v>
      </c>
      <c r="B262" s="2" t="s">
        <v>94</v>
      </c>
      <c r="C262" s="2" t="s">
        <v>601</v>
      </c>
      <c r="D262" s="2" t="str">
        <f>IFERROR(__xludf.DUMMYFUNCTION("""COMPUTED_VALUE"""),"#N/A")</f>
        <v>#N/A</v>
      </c>
      <c r="E262" s="2" t="s">
        <v>38</v>
      </c>
    </row>
    <row r="263">
      <c r="A263" s="2" t="s">
        <v>602</v>
      </c>
      <c r="B263" s="2" t="s">
        <v>94</v>
      </c>
      <c r="C263" s="2" t="s">
        <v>603</v>
      </c>
      <c r="D263" s="2" t="str">
        <f>IFERROR(__xludf.DUMMYFUNCTION("""COMPUTED_VALUE"""),"Mushrooms")</f>
        <v>Mushrooms</v>
      </c>
      <c r="I263" s="2" t="s">
        <v>604</v>
      </c>
    </row>
    <row r="264">
      <c r="A264" s="2" t="s">
        <v>605</v>
      </c>
      <c r="B264" s="2" t="s">
        <v>94</v>
      </c>
      <c r="C264" s="2" t="s">
        <v>606</v>
      </c>
      <c r="D264" s="2" t="str">
        <f>IFERROR(__xludf.DUMMYFUNCTION("""COMPUTED_VALUE"""),"Alliums, Dried Herbs &amp; Spices, Spicy")</f>
        <v>Alliums, Dried Herbs &amp; Spices, Spicy</v>
      </c>
      <c r="I264" s="2" t="s">
        <v>70</v>
      </c>
      <c r="K264" s="2" t="s">
        <v>71</v>
      </c>
    </row>
    <row r="265">
      <c r="A265" s="2" t="s">
        <v>607</v>
      </c>
      <c r="B265" s="2" t="s">
        <v>94</v>
      </c>
      <c r="C265" s="2" t="s">
        <v>608</v>
      </c>
      <c r="D265" s="2" t="str">
        <f>IFERROR(__xludf.DUMMYFUNCTION("""COMPUTED_VALUE"""),"Beans")</f>
        <v>Beans</v>
      </c>
      <c r="H265" s="2" t="s">
        <v>296</v>
      </c>
    </row>
    <row r="266">
      <c r="A266" s="2" t="s">
        <v>609</v>
      </c>
      <c r="B266" s="2" t="s">
        <v>94</v>
      </c>
      <c r="C266" s="2" t="s">
        <v>610</v>
      </c>
      <c r="D266" s="2" t="str">
        <f>IFERROR(__xludf.DUMMYFUNCTION("""COMPUTED_VALUE"""),"Wheat, Sweeteners, Caffeine")</f>
        <v>Wheat, Sweeteners, Caffeine</v>
      </c>
      <c r="G266" s="2" t="s">
        <v>19</v>
      </c>
      <c r="L266" s="2" t="s">
        <v>436</v>
      </c>
    </row>
    <row r="267">
      <c r="A267" s="2" t="s">
        <v>611</v>
      </c>
      <c r="B267" s="2" t="s">
        <v>94</v>
      </c>
      <c r="C267" s="2" t="s">
        <v>612</v>
      </c>
      <c r="D267" s="2" t="str">
        <f>IFERROR(__xludf.DUMMYFUNCTION("""COMPUTED_VALUE"""),"Alliums, Spicy")</f>
        <v>Alliums, Spicy</v>
      </c>
      <c r="E267" s="2" t="s">
        <v>464</v>
      </c>
      <c r="I267" s="2" t="s">
        <v>70</v>
      </c>
      <c r="K267" s="2" t="s">
        <v>74</v>
      </c>
    </row>
    <row r="268">
      <c r="A268" s="2" t="s">
        <v>613</v>
      </c>
      <c r="B268" s="2" t="s">
        <v>94</v>
      </c>
      <c r="C268" s="2" t="s">
        <v>614</v>
      </c>
      <c r="D268" s="2" t="str">
        <f>IFERROR(__xludf.DUMMYFUNCTION("""COMPUTED_VALUE"""),"Alcohol")</f>
        <v>Alcohol</v>
      </c>
      <c r="L268" s="2" t="s">
        <v>112</v>
      </c>
    </row>
    <row r="269">
      <c r="A269" s="2" t="s">
        <v>615</v>
      </c>
      <c r="B269" s="2" t="s">
        <v>94</v>
      </c>
      <c r="C269" s="2" t="s">
        <v>616</v>
      </c>
      <c r="D269" s="2" t="str">
        <f>IFERROR(__xludf.DUMMYFUNCTION("""COMPUTED_VALUE"""),"#N/A")</f>
        <v>#N/A</v>
      </c>
      <c r="E269" s="2" t="s">
        <v>18</v>
      </c>
    </row>
    <row r="270">
      <c r="A270" s="2" t="s">
        <v>617</v>
      </c>
      <c r="B270" s="2" t="s">
        <v>94</v>
      </c>
      <c r="C270" s="2" t="s">
        <v>618</v>
      </c>
      <c r="D270" s="2" t="str">
        <f>IFERROR(__xludf.DUMMYFUNCTION("""COMPUTED_VALUE"""),"#N/A")</f>
        <v>#N/A</v>
      </c>
      <c r="E270" s="2" t="s">
        <v>18</v>
      </c>
    </row>
    <row r="271">
      <c r="A271" s="2" t="s">
        <v>619</v>
      </c>
      <c r="B271" s="2" t="s">
        <v>94</v>
      </c>
      <c r="C271" s="2" t="s">
        <v>620</v>
      </c>
      <c r="D271" s="2" t="str">
        <f>IFERROR(__xludf.DUMMYFUNCTION("""COMPUTED_VALUE"""),"#N/A")</f>
        <v>#N/A</v>
      </c>
      <c r="E271" s="2" t="s">
        <v>18</v>
      </c>
    </row>
    <row r="272">
      <c r="A272" s="2" t="s">
        <v>621</v>
      </c>
      <c r="B272" s="2" t="s">
        <v>94</v>
      </c>
      <c r="C272" s="2" t="s">
        <v>622</v>
      </c>
      <c r="D272" s="2" t="str">
        <f>IFERROR(__xludf.DUMMYFUNCTION("""COMPUTED_VALUE"""),"#N/A")</f>
        <v>#N/A</v>
      </c>
      <c r="E272" s="2" t="s">
        <v>18</v>
      </c>
    </row>
    <row r="273">
      <c r="A273" s="2" t="s">
        <v>623</v>
      </c>
      <c r="B273" s="2" t="s">
        <v>94</v>
      </c>
      <c r="C273" s="2" t="s">
        <v>624</v>
      </c>
      <c r="D273" s="2" t="str">
        <f>IFERROR(__xludf.DUMMYFUNCTION("""COMPUTED_VALUE"""),"#N/A")</f>
        <v>#N/A</v>
      </c>
      <c r="E273" s="2" t="s">
        <v>18</v>
      </c>
    </row>
    <row r="274">
      <c r="A274" s="2" t="s">
        <v>625</v>
      </c>
      <c r="B274" s="2" t="s">
        <v>94</v>
      </c>
      <c r="C274" s="2" t="s">
        <v>626</v>
      </c>
      <c r="D274" s="2" t="str">
        <f>IFERROR(__xludf.DUMMYFUNCTION("""COMPUTED_VALUE"""),"#N/A")</f>
        <v>#N/A</v>
      </c>
      <c r="E274" s="2" t="s">
        <v>18</v>
      </c>
    </row>
    <row r="275">
      <c r="A275" s="2" t="s">
        <v>627</v>
      </c>
      <c r="B275" s="2" t="s">
        <v>94</v>
      </c>
      <c r="C275" s="2" t="s">
        <v>628</v>
      </c>
      <c r="D275" s="2" t="str">
        <f>IFERROR(__xludf.DUMMYFUNCTION("""COMPUTED_VALUE"""),"Lactose-Free, Soy")</f>
        <v>Lactose-Free, Soy</v>
      </c>
      <c r="F275" s="2" t="s">
        <v>100</v>
      </c>
      <c r="H275" s="2" t="s">
        <v>65</v>
      </c>
    </row>
    <row r="276">
      <c r="A276" s="2" t="s">
        <v>629</v>
      </c>
      <c r="B276" s="2" t="s">
        <v>94</v>
      </c>
      <c r="C276" s="2" t="s">
        <v>630</v>
      </c>
      <c r="D276" s="2" t="str">
        <f>IFERROR(__xludf.DUMMYFUNCTION("""COMPUTED_VALUE"""),"#N/A")</f>
        <v>#N/A</v>
      </c>
      <c r="E276" s="2" t="s">
        <v>18</v>
      </c>
    </row>
    <row r="277">
      <c r="A277" s="2" t="s">
        <v>631</v>
      </c>
      <c r="B277" s="2" t="s">
        <v>94</v>
      </c>
      <c r="C277" s="2" t="s">
        <v>632</v>
      </c>
      <c r="D277" s="2" t="str">
        <f>IFERROR(__xludf.DUMMYFUNCTION("""COMPUTED_VALUE"""),"#N/A")</f>
        <v>#N/A</v>
      </c>
      <c r="E277" s="2" t="s">
        <v>18</v>
      </c>
    </row>
    <row r="278">
      <c r="A278" s="2" t="s">
        <v>633</v>
      </c>
      <c r="B278" s="2" t="s">
        <v>94</v>
      </c>
      <c r="C278" s="2" t="s">
        <v>634</v>
      </c>
      <c r="D278" s="2" t="str">
        <f>IFERROR(__xludf.DUMMYFUNCTION("""COMPUTED_VALUE"""),"Wheat, Sweeteners, Caffeine")</f>
        <v>Wheat, Sweeteners, Caffeine</v>
      </c>
      <c r="G278" s="2" t="s">
        <v>19</v>
      </c>
      <c r="L278" s="2" t="s">
        <v>436</v>
      </c>
    </row>
    <row r="279">
      <c r="A279" s="2" t="s">
        <v>635</v>
      </c>
      <c r="B279" s="2" t="s">
        <v>94</v>
      </c>
      <c r="C279" s="2" t="s">
        <v>636</v>
      </c>
      <c r="D279" s="2" t="str">
        <f>IFERROR(__xludf.DUMMYFUNCTION("""COMPUTED_VALUE"""),"Wheat")</f>
        <v>Wheat</v>
      </c>
      <c r="G279" s="2" t="s">
        <v>19</v>
      </c>
    </row>
    <row r="280">
      <c r="A280" s="2" t="s">
        <v>637</v>
      </c>
      <c r="B280" s="2" t="s">
        <v>94</v>
      </c>
      <c r="C280" s="2" t="s">
        <v>638</v>
      </c>
      <c r="D280" s="2" t="str">
        <f>IFERROR(__xludf.DUMMYFUNCTION("""COMPUTED_VALUE"""),"Gluten-Free Grains")</f>
        <v>Gluten-Free Grains</v>
      </c>
      <c r="G280" s="2" t="s">
        <v>60</v>
      </c>
    </row>
    <row r="281">
      <c r="A281" s="2" t="s">
        <v>639</v>
      </c>
      <c r="B281" s="2" t="s">
        <v>94</v>
      </c>
      <c r="C281" s="2" t="s">
        <v>640</v>
      </c>
      <c r="D281" s="2" t="str">
        <f>IFERROR(__xludf.DUMMYFUNCTION("""COMPUTED_VALUE"""),"Nightshades, Dried Herbs &amp; Spices, Spicy, Sweeteners")</f>
        <v>Nightshades, Dried Herbs &amp; Spices, Spicy, Sweeteners</v>
      </c>
      <c r="I281" s="2" t="s">
        <v>54</v>
      </c>
      <c r="K281" s="2" t="s">
        <v>71</v>
      </c>
      <c r="L281" s="2" t="s">
        <v>20</v>
      </c>
    </row>
    <row r="282">
      <c r="A282" s="2" t="s">
        <v>641</v>
      </c>
      <c r="B282" s="2" t="s">
        <v>94</v>
      </c>
      <c r="C282" s="2" t="s">
        <v>642</v>
      </c>
      <c r="D282" s="2" t="str">
        <f>IFERROR(__xludf.DUMMYFUNCTION("""COMPUTED_VALUE"""),"Soy, Alliums, Dried Herbs &amp; Spices, Sweeteners")</f>
        <v>Soy, Alliums, Dried Herbs &amp; Spices, Sweeteners</v>
      </c>
      <c r="H282" s="2" t="s">
        <v>65</v>
      </c>
      <c r="I282" s="2" t="s">
        <v>70</v>
      </c>
      <c r="K282" s="2" t="s">
        <v>27</v>
      </c>
      <c r="L282" s="2" t="s">
        <v>20</v>
      </c>
    </row>
    <row r="283">
      <c r="A283" s="2" t="s">
        <v>643</v>
      </c>
      <c r="B283" s="2" t="s">
        <v>94</v>
      </c>
      <c r="C283" s="2" t="s">
        <v>644</v>
      </c>
      <c r="D283" s="2" t="str">
        <f>IFERROR(__xludf.DUMMYFUNCTION("""COMPUTED_VALUE"""),"Wheat")</f>
        <v>Wheat</v>
      </c>
      <c r="G283" s="2" t="s">
        <v>19</v>
      </c>
    </row>
    <row r="284">
      <c r="A284" s="2" t="s">
        <v>645</v>
      </c>
      <c r="B284" s="2" t="s">
        <v>94</v>
      </c>
      <c r="C284" s="2" t="s">
        <v>646</v>
      </c>
      <c r="D284" s="2" t="str">
        <f>IFERROR(__xludf.DUMMYFUNCTION("""COMPUTED_VALUE"""),"Wheat, Sweeteners")</f>
        <v>Wheat, Sweeteners</v>
      </c>
      <c r="G284" s="2" t="s">
        <v>19</v>
      </c>
      <c r="L284" s="2" t="s">
        <v>20</v>
      </c>
    </row>
    <row r="285">
      <c r="A285" s="2" t="s">
        <v>647</v>
      </c>
      <c r="B285" s="2" t="s">
        <v>94</v>
      </c>
      <c r="C285" s="2" t="s">
        <v>648</v>
      </c>
      <c r="D285" s="2" t="str">
        <f>IFERROR(__xludf.DUMMYFUNCTION("""COMPUTED_VALUE"""),"#N/A")</f>
        <v>#N/A</v>
      </c>
      <c r="E285" s="2" t="s">
        <v>18</v>
      </c>
    </row>
    <row r="286">
      <c r="A286" s="2" t="s">
        <v>649</v>
      </c>
      <c r="B286" s="2" t="s">
        <v>94</v>
      </c>
      <c r="C286" s="2" t="s">
        <v>650</v>
      </c>
      <c r="D286" s="2" t="str">
        <f>IFERROR(__xludf.DUMMYFUNCTION("""COMPUTED_VALUE"""),"#N/A")</f>
        <v>#N/A</v>
      </c>
      <c r="E286" s="2" t="s">
        <v>18</v>
      </c>
    </row>
    <row r="287">
      <c r="A287" s="2" t="s">
        <v>651</v>
      </c>
      <c r="B287" s="2" t="s">
        <v>94</v>
      </c>
      <c r="C287" s="2" t="s">
        <v>652</v>
      </c>
      <c r="D287" s="2" t="str">
        <f>IFERROR(__xludf.DUMMYFUNCTION("""COMPUTED_VALUE"""),"Gluten-Free Grains, Tree Nuts, Berries, Stone Fruits, Sweeteners")</f>
        <v>Gluten-Free Grains, Tree Nuts, Berries, Stone Fruits, Sweeteners</v>
      </c>
      <c r="G287" s="2" t="s">
        <v>60</v>
      </c>
      <c r="H287" s="2" t="s">
        <v>44</v>
      </c>
      <c r="J287" s="2" t="s">
        <v>653</v>
      </c>
      <c r="L287" s="2" t="s">
        <v>20</v>
      </c>
    </row>
    <row r="288">
      <c r="A288" s="2" t="s">
        <v>654</v>
      </c>
      <c r="B288" s="2" t="s">
        <v>94</v>
      </c>
      <c r="C288" s="2" t="s">
        <v>655</v>
      </c>
      <c r="D288" s="2" t="str">
        <f>IFERROR(__xludf.DUMMYFUNCTION("""COMPUTED_VALUE"""),"Berries")</f>
        <v>Berries</v>
      </c>
      <c r="J288" s="2" t="s">
        <v>316</v>
      </c>
    </row>
    <row r="289">
      <c r="A289" s="2" t="s">
        <v>656</v>
      </c>
      <c r="B289" s="2" t="s">
        <v>94</v>
      </c>
      <c r="C289" s="2" t="s">
        <v>657</v>
      </c>
      <c r="D289" s="2" t="str">
        <f>IFERROR(__xludf.DUMMYFUNCTION("""COMPUTED_VALUE"""),"Alcohol")</f>
        <v>Alcohol</v>
      </c>
      <c r="L289" s="2" t="s">
        <v>112</v>
      </c>
    </row>
    <row r="290">
      <c r="A290" s="2" t="s">
        <v>658</v>
      </c>
      <c r="B290" s="2" t="s">
        <v>94</v>
      </c>
      <c r="C290" s="2" t="s">
        <v>659</v>
      </c>
      <c r="D290" s="2" t="str">
        <f>IFERROR(__xludf.DUMMYFUNCTION("""COMPUTED_VALUE"""),"Wheat, Gluten-Free Grains")</f>
        <v>Wheat, Gluten-Free Grains</v>
      </c>
      <c r="G290" s="2" t="s">
        <v>77</v>
      </c>
    </row>
    <row r="291">
      <c r="A291" s="2" t="s">
        <v>660</v>
      </c>
      <c r="B291" s="2" t="s">
        <v>94</v>
      </c>
      <c r="C291" s="2" t="s">
        <v>661</v>
      </c>
      <c r="D291" s="2" t="str">
        <f>IFERROR(__xludf.DUMMYFUNCTION("""COMPUTED_VALUE"""),"Gluten-Free Grains")</f>
        <v>Gluten-Free Grains</v>
      </c>
      <c r="G291" s="2" t="s">
        <v>60</v>
      </c>
    </row>
    <row r="292">
      <c r="A292" s="2" t="s">
        <v>662</v>
      </c>
      <c r="B292" s="2" t="s">
        <v>94</v>
      </c>
      <c r="C292" s="2" t="s">
        <v>663</v>
      </c>
      <c r="D292" s="2" t="str">
        <f>IFERROR(__xludf.DUMMYFUNCTION("""COMPUTED_VALUE"""),"Beans")</f>
        <v>Beans</v>
      </c>
      <c r="H292" s="2" t="s">
        <v>296</v>
      </c>
    </row>
    <row r="293">
      <c r="A293" s="2" t="s">
        <v>664</v>
      </c>
      <c r="B293" s="2" t="s">
        <v>94</v>
      </c>
      <c r="C293" s="2" t="s">
        <v>665</v>
      </c>
      <c r="D293" s="2" t="str">
        <f>IFERROR(__xludf.DUMMYFUNCTION("""COMPUTED_VALUE"""),"Beans")</f>
        <v>Beans</v>
      </c>
      <c r="H293" s="2" t="s">
        <v>296</v>
      </c>
    </row>
    <row r="294">
      <c r="A294" s="2" t="s">
        <v>666</v>
      </c>
      <c r="B294" s="2" t="s">
        <v>94</v>
      </c>
      <c r="C294" s="2" t="s">
        <v>667</v>
      </c>
      <c r="D294" s="2" t="str">
        <f>IFERROR(__xludf.DUMMYFUNCTION("""COMPUTED_VALUE"""),"Beans")</f>
        <v>Beans</v>
      </c>
      <c r="H294" s="2" t="s">
        <v>296</v>
      </c>
    </row>
    <row r="295">
      <c r="A295" s="2" t="s">
        <v>668</v>
      </c>
      <c r="B295" s="2" t="s">
        <v>94</v>
      </c>
      <c r="C295" s="2" t="s">
        <v>669</v>
      </c>
      <c r="D295" s="2" t="str">
        <f>IFERROR(__xludf.DUMMYFUNCTION("""COMPUTED_VALUE"""),"Peanuts, Soy, Tree Nuts, Sweeteners, Caffeine")</f>
        <v>Peanuts, Soy, Tree Nuts, Sweeteners, Caffeine</v>
      </c>
      <c r="E295" s="2" t="s">
        <v>18</v>
      </c>
      <c r="H295" s="2" t="s">
        <v>670</v>
      </c>
      <c r="L295" s="2" t="s">
        <v>436</v>
      </c>
    </row>
    <row r="296">
      <c r="A296" s="2" t="s">
        <v>671</v>
      </c>
      <c r="B296" s="2" t="s">
        <v>94</v>
      </c>
      <c r="C296" s="2" t="s">
        <v>672</v>
      </c>
      <c r="D296" s="2" t="str">
        <f>IFERROR(__xludf.DUMMYFUNCTION("""COMPUTED_VALUE"""),"Soy, Tree Nuts, Peanuts, Sweeteners")</f>
        <v>Soy, Tree Nuts, Peanuts, Sweeteners</v>
      </c>
      <c r="E296" s="2" t="s">
        <v>18</v>
      </c>
      <c r="H296" s="2" t="s">
        <v>673</v>
      </c>
      <c r="L296" s="2" t="s">
        <v>20</v>
      </c>
    </row>
    <row r="297">
      <c r="A297" s="2" t="s">
        <v>674</v>
      </c>
      <c r="B297" s="2" t="s">
        <v>94</v>
      </c>
      <c r="C297" s="2" t="s">
        <v>675</v>
      </c>
      <c r="D297" s="2" t="str">
        <f>IFERROR(__xludf.DUMMYFUNCTION("""COMPUTED_VALUE"""),"Soy, Sweeteners")</f>
        <v>Soy, Sweeteners</v>
      </c>
      <c r="E297" s="2" t="s">
        <v>18</v>
      </c>
      <c r="H297" s="2" t="s">
        <v>65</v>
      </c>
      <c r="L297" s="2" t="s">
        <v>20</v>
      </c>
    </row>
    <row r="298">
      <c r="A298" s="2" t="s">
        <v>676</v>
      </c>
      <c r="B298" s="2" t="s">
        <v>94</v>
      </c>
      <c r="C298" s="2" t="s">
        <v>677</v>
      </c>
      <c r="D298" s="2" t="str">
        <f>IFERROR(__xludf.DUMMYFUNCTION("""COMPUTED_VALUE"""),"Soy, Sweeteners")</f>
        <v>Soy, Sweeteners</v>
      </c>
      <c r="E298" s="2" t="s">
        <v>18</v>
      </c>
      <c r="H298" s="2" t="s">
        <v>65</v>
      </c>
      <c r="L298" s="2" t="s">
        <v>20</v>
      </c>
    </row>
    <row r="299">
      <c r="A299" s="2" t="s">
        <v>678</v>
      </c>
      <c r="B299" s="2" t="s">
        <v>94</v>
      </c>
      <c r="C299" s="2" t="s">
        <v>679</v>
      </c>
      <c r="D299" s="2" t="str">
        <f>IFERROR(__xludf.DUMMYFUNCTION("""COMPUTED_VALUE"""),"Alcohol")</f>
        <v>Alcohol</v>
      </c>
      <c r="L299" s="2" t="s">
        <v>112</v>
      </c>
    </row>
    <row r="300">
      <c r="A300" s="2" t="s">
        <v>680</v>
      </c>
      <c r="B300" s="2" t="s">
        <v>94</v>
      </c>
      <c r="C300" s="2" t="s">
        <v>681</v>
      </c>
      <c r="D300" s="2" t="str">
        <f>IFERROR(__xludf.DUMMYFUNCTION("""COMPUTED_VALUE"""),"Wheat, Sweeteners")</f>
        <v>Wheat, Sweeteners</v>
      </c>
      <c r="E300" s="2" t="s">
        <v>18</v>
      </c>
      <c r="G300" s="2" t="s">
        <v>19</v>
      </c>
      <c r="L300" s="2" t="s">
        <v>20</v>
      </c>
    </row>
    <row r="301">
      <c r="A301" s="2" t="s">
        <v>682</v>
      </c>
      <c r="B301" s="2" t="s">
        <v>94</v>
      </c>
      <c r="C301" s="2" t="s">
        <v>683</v>
      </c>
      <c r="D301" s="2" t="str">
        <f>IFERROR(__xludf.DUMMYFUNCTION("""COMPUTED_VALUE"""),"Soy, Sweeteners")</f>
        <v>Soy, Sweeteners</v>
      </c>
      <c r="E301" s="2" t="s">
        <v>18</v>
      </c>
      <c r="H301" s="2" t="s">
        <v>65</v>
      </c>
      <c r="L301" s="2" t="s">
        <v>20</v>
      </c>
    </row>
    <row r="302">
      <c r="A302" s="2" t="s">
        <v>684</v>
      </c>
      <c r="B302" s="2" t="s">
        <v>94</v>
      </c>
      <c r="C302" s="2" t="s">
        <v>685</v>
      </c>
      <c r="D302" s="2" t="str">
        <f>IFERROR(__xludf.DUMMYFUNCTION("""COMPUTED_VALUE"""),"Sweeteners")</f>
        <v>Sweeteners</v>
      </c>
      <c r="L302" s="2" t="s">
        <v>20</v>
      </c>
    </row>
    <row r="303">
      <c r="A303" s="2" t="s">
        <v>686</v>
      </c>
      <c r="B303" s="2" t="s">
        <v>94</v>
      </c>
      <c r="C303" s="2" t="s">
        <v>687</v>
      </c>
      <c r="D303" s="2" t="str">
        <f>IFERROR(__xludf.DUMMYFUNCTION("""COMPUTED_VALUE"""),"Others")</f>
        <v>Others</v>
      </c>
      <c r="M303" s="2" t="s">
        <v>11</v>
      </c>
    </row>
    <row r="304">
      <c r="A304" s="2" t="s">
        <v>688</v>
      </c>
      <c r="B304" s="2" t="s">
        <v>94</v>
      </c>
      <c r="C304" s="2" t="s">
        <v>689</v>
      </c>
      <c r="D304" s="2" t="str">
        <f>IFERROR(__xludf.DUMMYFUNCTION("""COMPUTED_VALUE"""),"Wheat, Mushrooms, Alliums, Dried Herbs &amp; Spices")</f>
        <v>Wheat, Mushrooms, Alliums, Dried Herbs &amp; Spices</v>
      </c>
      <c r="G304" s="2" t="s">
        <v>19</v>
      </c>
      <c r="I304" s="2" t="s">
        <v>204</v>
      </c>
      <c r="K304" s="2" t="s">
        <v>27</v>
      </c>
    </row>
    <row r="305">
      <c r="A305" s="2" t="s">
        <v>690</v>
      </c>
      <c r="B305" s="2" t="s">
        <v>94</v>
      </c>
      <c r="C305" s="2" t="s">
        <v>691</v>
      </c>
      <c r="D305" s="2" t="str">
        <f>IFERROR(__xludf.DUMMYFUNCTION("""COMPUTED_VALUE"""),"Mushrooms, Alliums, Dried Herbs &amp; Spices")</f>
        <v>Mushrooms, Alliums, Dried Herbs &amp; Spices</v>
      </c>
      <c r="I305" s="2" t="s">
        <v>204</v>
      </c>
      <c r="K305" s="2" t="s">
        <v>27</v>
      </c>
    </row>
    <row r="306">
      <c r="A306" s="2" t="s">
        <v>692</v>
      </c>
      <c r="B306" s="2" t="s">
        <v>94</v>
      </c>
      <c r="C306" s="2" t="s">
        <v>693</v>
      </c>
      <c r="D306" s="2" t="str">
        <f>IFERROR(__xludf.DUMMYFUNCTION("""COMPUTED_VALUE"""),"Mushrooms, Alliums, Dried Herbs &amp; Spices, Sweeteners")</f>
        <v>Mushrooms, Alliums, Dried Herbs &amp; Spices, Sweeteners</v>
      </c>
      <c r="I306" s="2" t="s">
        <v>204</v>
      </c>
      <c r="K306" s="2" t="s">
        <v>27</v>
      </c>
      <c r="L306" s="2" t="s">
        <v>20</v>
      </c>
    </row>
    <row r="307">
      <c r="A307" s="2" t="s">
        <v>694</v>
      </c>
      <c r="B307" s="2" t="s">
        <v>94</v>
      </c>
      <c r="C307" s="2" t="s">
        <v>695</v>
      </c>
      <c r="D307" s="2" t="str">
        <f>IFERROR(__xludf.DUMMYFUNCTION("""COMPUTED_VALUE"""),"Mushrooms")</f>
        <v>Mushrooms</v>
      </c>
      <c r="I307" s="2" t="s">
        <v>604</v>
      </c>
    </row>
    <row r="308">
      <c r="A308" s="2" t="s">
        <v>696</v>
      </c>
      <c r="B308" s="2" t="s">
        <v>94</v>
      </c>
      <c r="C308" s="2" t="s">
        <v>697</v>
      </c>
      <c r="D308" s="2" t="str">
        <f>IFERROR(__xludf.DUMMYFUNCTION("""COMPUTED_VALUE"""),"Mushrooms, Alliums, Dried Herbs &amp; Spices, Sweeteners")</f>
        <v>Mushrooms, Alliums, Dried Herbs &amp; Spices, Sweeteners</v>
      </c>
      <c r="I308" s="2" t="s">
        <v>204</v>
      </c>
      <c r="K308" s="2" t="s">
        <v>27</v>
      </c>
      <c r="L308" s="2" t="s">
        <v>20</v>
      </c>
    </row>
    <row r="309">
      <c r="A309" s="2" t="s">
        <v>698</v>
      </c>
      <c r="B309" s="2" t="s">
        <v>94</v>
      </c>
      <c r="C309" s="2" t="s">
        <v>699</v>
      </c>
      <c r="D309" s="2" t="str">
        <f>IFERROR(__xludf.DUMMYFUNCTION("""COMPUTED_VALUE"""),"Mushrooms, Alliums, Dried Herbs &amp; Spices")</f>
        <v>Mushrooms, Alliums, Dried Herbs &amp; Spices</v>
      </c>
      <c r="I309" s="2" t="s">
        <v>204</v>
      </c>
      <c r="K309" s="2" t="s">
        <v>27</v>
      </c>
    </row>
    <row r="310">
      <c r="A310" s="2" t="s">
        <v>700</v>
      </c>
      <c r="B310" s="2" t="s">
        <v>94</v>
      </c>
      <c r="C310" s="2" t="s">
        <v>701</v>
      </c>
      <c r="D310" s="2" t="str">
        <f>IFERROR(__xludf.DUMMYFUNCTION("""COMPUTED_VALUE"""),"Mushrooms, Alliums, Dried Herbs &amp; Spices")</f>
        <v>Mushrooms, Alliums, Dried Herbs &amp; Spices</v>
      </c>
      <c r="E310" s="2" t="s">
        <v>38</v>
      </c>
      <c r="I310" s="2" t="s">
        <v>204</v>
      </c>
      <c r="K310" s="2" t="s">
        <v>27</v>
      </c>
    </row>
    <row r="311">
      <c r="A311" s="2" t="s">
        <v>702</v>
      </c>
      <c r="B311" s="2" t="s">
        <v>13</v>
      </c>
      <c r="C311" s="2" t="s">
        <v>604</v>
      </c>
      <c r="D311" s="2" t="str">
        <f>IFERROR(__xludf.DUMMYFUNCTION("""COMPUTED_VALUE"""),"Mushrooms")</f>
        <v>Mushrooms</v>
      </c>
      <c r="I311" s="2" t="s">
        <v>604</v>
      </c>
    </row>
    <row r="312">
      <c r="A312" s="2" t="s">
        <v>703</v>
      </c>
      <c r="B312" s="2" t="s">
        <v>94</v>
      </c>
      <c r="C312" s="2" t="s">
        <v>704</v>
      </c>
      <c r="D312" s="2" t="str">
        <f>IFERROR(__xludf.DUMMYFUNCTION("""COMPUTED_VALUE"""),"#N/A")</f>
        <v>#N/A</v>
      </c>
      <c r="E312" s="2" t="s">
        <v>705</v>
      </c>
    </row>
    <row r="313">
      <c r="A313" s="2" t="s">
        <v>706</v>
      </c>
      <c r="B313" s="2" t="s">
        <v>94</v>
      </c>
      <c r="C313" s="2" t="s">
        <v>707</v>
      </c>
      <c r="D313" s="2" t="str">
        <f>IFERROR(__xludf.DUMMYFUNCTION("""COMPUTED_VALUE"""),"Dried Herbs &amp; Spices")</f>
        <v>Dried Herbs &amp; Spices</v>
      </c>
      <c r="K313" s="2" t="s">
        <v>27</v>
      </c>
    </row>
    <row r="314">
      <c r="A314" s="2" t="s">
        <v>708</v>
      </c>
      <c r="B314" s="2" t="s">
        <v>94</v>
      </c>
      <c r="C314" s="2" t="s">
        <v>709</v>
      </c>
      <c r="D314" s="2" t="str">
        <f>IFERROR(__xludf.DUMMYFUNCTION("""COMPUTED_VALUE"""),"Cruciferous")</f>
        <v>Cruciferous</v>
      </c>
      <c r="I314" s="2" t="s">
        <v>710</v>
      </c>
    </row>
    <row r="315">
      <c r="A315" s="2" t="s">
        <v>711</v>
      </c>
      <c r="B315" s="2" t="s">
        <v>94</v>
      </c>
      <c r="C315" s="2" t="s">
        <v>712</v>
      </c>
      <c r="D315" s="2" t="str">
        <f>IFERROR(__xludf.DUMMYFUNCTION("""COMPUTED_VALUE"""),"Dried Herbs &amp; Spices")</f>
        <v>Dried Herbs &amp; Spices</v>
      </c>
      <c r="K315" s="2" t="s">
        <v>27</v>
      </c>
    </row>
    <row r="316">
      <c r="A316" s="2" t="s">
        <v>713</v>
      </c>
      <c r="B316" s="2" t="s">
        <v>94</v>
      </c>
      <c r="C316" s="2" t="s">
        <v>714</v>
      </c>
      <c r="D316" s="2" t="str">
        <f>IFERROR(__xludf.DUMMYFUNCTION("""COMPUTED_VALUE"""),"Cruciferous")</f>
        <v>Cruciferous</v>
      </c>
      <c r="I316" s="2" t="s">
        <v>710</v>
      </c>
    </row>
    <row r="317">
      <c r="A317" s="2" t="s">
        <v>715</v>
      </c>
      <c r="B317" s="2" t="s">
        <v>94</v>
      </c>
      <c r="C317" s="2" t="s">
        <v>716</v>
      </c>
      <c r="D317" s="2" t="str">
        <f>IFERROR(__xludf.DUMMYFUNCTION("""COMPUTED_VALUE"""),"Cruciferous")</f>
        <v>Cruciferous</v>
      </c>
      <c r="I317" s="2" t="s">
        <v>710</v>
      </c>
    </row>
    <row r="318">
      <c r="A318" s="2" t="s">
        <v>717</v>
      </c>
      <c r="B318" s="2" t="s">
        <v>94</v>
      </c>
      <c r="C318" s="2" t="s">
        <v>718</v>
      </c>
      <c r="D318" s="2" t="str">
        <f>IFERROR(__xludf.DUMMYFUNCTION("""COMPUTED_VALUE"""),"Dried Herbs &amp; Spices")</f>
        <v>Dried Herbs &amp; Spices</v>
      </c>
      <c r="K318" s="2" t="s">
        <v>27</v>
      </c>
    </row>
    <row r="319">
      <c r="A319" s="2" t="s">
        <v>719</v>
      </c>
      <c r="B319" s="2" t="s">
        <v>94</v>
      </c>
      <c r="C319" s="2" t="s">
        <v>720</v>
      </c>
      <c r="D319" s="2" t="str">
        <f>IFERROR(__xludf.DUMMYFUNCTION("""COMPUTED_VALUE"""),"Dried Herbs &amp; Spices")</f>
        <v>Dried Herbs &amp; Spices</v>
      </c>
      <c r="K319" s="2" t="s">
        <v>27</v>
      </c>
    </row>
    <row r="320">
      <c r="A320" s="2" t="s">
        <v>721</v>
      </c>
      <c r="B320" s="2" t="s">
        <v>94</v>
      </c>
      <c r="C320" s="2" t="s">
        <v>722</v>
      </c>
      <c r="D320" s="2" t="str">
        <f>IFERROR(__xludf.DUMMYFUNCTION("""COMPUTED_VALUE"""),"Cruciferous")</f>
        <v>Cruciferous</v>
      </c>
      <c r="I320" s="2" t="s">
        <v>710</v>
      </c>
    </row>
    <row r="321">
      <c r="A321" s="2" t="s">
        <v>723</v>
      </c>
      <c r="B321" s="2" t="s">
        <v>94</v>
      </c>
      <c r="C321" s="2" t="s">
        <v>724</v>
      </c>
      <c r="D321" s="2" t="str">
        <f>IFERROR(__xludf.DUMMYFUNCTION("""COMPUTED_VALUE"""),"Dried Herbs &amp; Spices")</f>
        <v>Dried Herbs &amp; Spices</v>
      </c>
      <c r="K321" s="2" t="s">
        <v>27</v>
      </c>
    </row>
    <row r="322">
      <c r="A322" s="2" t="s">
        <v>725</v>
      </c>
      <c r="B322" s="2" t="s">
        <v>94</v>
      </c>
      <c r="C322" s="2" t="s">
        <v>726</v>
      </c>
      <c r="D322" s="2" t="str">
        <f>IFERROR(__xludf.DUMMYFUNCTION("""COMPUTED_VALUE"""),"Wheat, Nightshades, Alliums, Dried Herbs &amp; Spices, Sweeteners")</f>
        <v>Wheat, Nightshades, Alliums, Dried Herbs &amp; Spices, Sweeteners</v>
      </c>
      <c r="E322" s="2" t="s">
        <v>18</v>
      </c>
      <c r="G322" s="2" t="s">
        <v>19</v>
      </c>
      <c r="I322" s="2" t="s">
        <v>57</v>
      </c>
      <c r="K322" s="2" t="s">
        <v>27</v>
      </c>
      <c r="L322" s="2" t="s">
        <v>20</v>
      </c>
    </row>
    <row r="323">
      <c r="A323" s="2" t="s">
        <v>727</v>
      </c>
      <c r="B323" s="2" t="s">
        <v>94</v>
      </c>
      <c r="C323" s="2" t="s">
        <v>728</v>
      </c>
      <c r="D323" s="2" t="str">
        <f>IFERROR(__xludf.DUMMYFUNCTION("""COMPUTED_VALUE"""),"Nightshades")</f>
        <v>Nightshades</v>
      </c>
      <c r="I323" s="2" t="s">
        <v>54</v>
      </c>
    </row>
    <row r="324">
      <c r="A324" s="2" t="s">
        <v>729</v>
      </c>
      <c r="B324" s="2" t="s">
        <v>94</v>
      </c>
      <c r="C324" s="2" t="s">
        <v>730</v>
      </c>
      <c r="D324" s="2" t="str">
        <f>IFERROR(__xludf.DUMMYFUNCTION("""COMPUTED_VALUE"""),"Nightshades, Alliums, Dried Herbs &amp; Spices, Sweeteners")</f>
        <v>Nightshades, Alliums, Dried Herbs &amp; Spices, Sweeteners</v>
      </c>
      <c r="I324" s="2" t="s">
        <v>57</v>
      </c>
      <c r="K324" s="2" t="s">
        <v>27</v>
      </c>
      <c r="L324" s="2" t="s">
        <v>20</v>
      </c>
    </row>
    <row r="325">
      <c r="A325" s="2" t="s">
        <v>731</v>
      </c>
      <c r="B325" s="2" t="s">
        <v>94</v>
      </c>
      <c r="C325" s="2" t="s">
        <v>732</v>
      </c>
      <c r="D325" s="2" t="str">
        <f>IFERROR(__xludf.DUMMYFUNCTION("""COMPUTED_VALUE"""),"Nightshades")</f>
        <v>Nightshades</v>
      </c>
      <c r="I325" s="2" t="s">
        <v>54</v>
      </c>
    </row>
    <row r="326">
      <c r="A326" s="2" t="s">
        <v>733</v>
      </c>
      <c r="B326" s="2" t="s">
        <v>94</v>
      </c>
      <c r="C326" s="2" t="s">
        <v>734</v>
      </c>
      <c r="D326" s="2" t="str">
        <f>IFERROR(__xludf.DUMMYFUNCTION("""COMPUTED_VALUE"""),"Wheat, Nightshades, Alliums, Dried Herbs &amp; Spices, Sweeteners")</f>
        <v>Wheat, Nightshades, Alliums, Dried Herbs &amp; Spices, Sweeteners</v>
      </c>
      <c r="E326" s="2" t="s">
        <v>18</v>
      </c>
      <c r="G326" s="2" t="s">
        <v>19</v>
      </c>
      <c r="I326" s="2" t="s">
        <v>57</v>
      </c>
      <c r="K326" s="2" t="s">
        <v>27</v>
      </c>
      <c r="L326" s="2" t="s">
        <v>20</v>
      </c>
    </row>
    <row r="327">
      <c r="A327" s="2" t="s">
        <v>735</v>
      </c>
      <c r="B327" s="2" t="s">
        <v>94</v>
      </c>
      <c r="C327" s="2" t="s">
        <v>736</v>
      </c>
      <c r="D327" s="2" t="str">
        <f>IFERROR(__xludf.DUMMYFUNCTION("""COMPUTED_VALUE"""),"Nightshades, Alliums, Dried Herbs &amp; Spices")</f>
        <v>Nightshades, Alliums, Dried Herbs &amp; Spices</v>
      </c>
      <c r="I327" s="2" t="s">
        <v>57</v>
      </c>
      <c r="K327" s="2" t="s">
        <v>27</v>
      </c>
    </row>
    <row r="328">
      <c r="A328" s="2" t="s">
        <v>737</v>
      </c>
      <c r="B328" s="2" t="s">
        <v>94</v>
      </c>
      <c r="C328" s="2" t="s">
        <v>738</v>
      </c>
      <c r="D328" s="2" t="str">
        <f>IFERROR(__xludf.DUMMYFUNCTION("""COMPUTED_VALUE"""),"#N/A")</f>
        <v>#N/A</v>
      </c>
      <c r="E328" s="2" t="s">
        <v>739</v>
      </c>
    </row>
    <row r="329">
      <c r="A329" s="2" t="s">
        <v>740</v>
      </c>
      <c r="B329" s="2" t="s">
        <v>94</v>
      </c>
      <c r="C329" s="2" t="s">
        <v>741</v>
      </c>
      <c r="D329" s="2" t="str">
        <f>IFERROR(__xludf.DUMMYFUNCTION("""COMPUTED_VALUE"""),"Wheat, Soy, Caffeine, Sweeteners")</f>
        <v>Wheat, Soy, Caffeine, Sweeteners</v>
      </c>
      <c r="E329" s="2" t="s">
        <v>18</v>
      </c>
      <c r="G329" s="2" t="s">
        <v>19</v>
      </c>
      <c r="H329" s="2" t="s">
        <v>65</v>
      </c>
      <c r="L329" s="2" t="s">
        <v>742</v>
      </c>
    </row>
    <row r="330">
      <c r="A330" s="2" t="s">
        <v>743</v>
      </c>
      <c r="B330" s="2" t="s">
        <v>94</v>
      </c>
      <c r="C330" s="2" t="s">
        <v>744</v>
      </c>
      <c r="D330" s="2" t="str">
        <f>IFERROR(__xludf.DUMMYFUNCTION("""COMPUTED_VALUE"""),"Corn, Beans, Dried Herbs &amp; Spices, Fresh Herbs")</f>
        <v>Corn, Beans, Dried Herbs &amp; Spices, Fresh Herbs</v>
      </c>
      <c r="E330" s="2" t="s">
        <v>92</v>
      </c>
      <c r="G330" s="2" t="s">
        <v>41</v>
      </c>
      <c r="H330" s="2" t="s">
        <v>296</v>
      </c>
      <c r="K330" s="2" t="s">
        <v>159</v>
      </c>
    </row>
    <row r="331">
      <c r="A331" s="2" t="s">
        <v>745</v>
      </c>
      <c r="B331" s="2" t="s">
        <v>94</v>
      </c>
      <c r="C331" s="2" t="s">
        <v>746</v>
      </c>
      <c r="D331" s="2" t="str">
        <f>IFERROR(__xludf.DUMMYFUNCTION("""COMPUTED_VALUE"""),"Citrus, Sweeteners")</f>
        <v>Citrus, Sweeteners</v>
      </c>
      <c r="E331" s="2" t="s">
        <v>18</v>
      </c>
      <c r="J331" s="2" t="s">
        <v>128</v>
      </c>
      <c r="L331" s="2" t="s">
        <v>20</v>
      </c>
    </row>
    <row r="332">
      <c r="A332" s="2" t="s">
        <v>747</v>
      </c>
      <c r="B332" s="2" t="s">
        <v>94</v>
      </c>
      <c r="C332" s="2" t="s">
        <v>748</v>
      </c>
      <c r="D332" s="2" t="str">
        <f>IFERROR(__xludf.DUMMYFUNCTION("""COMPUTED_VALUE"""),"Sweeteners")</f>
        <v>Sweeteners</v>
      </c>
      <c r="E332" s="2" t="s">
        <v>18</v>
      </c>
      <c r="L332" s="2" t="s">
        <v>20</v>
      </c>
    </row>
    <row r="333">
      <c r="A333" s="2" t="s">
        <v>749</v>
      </c>
      <c r="B333" s="2" t="s">
        <v>94</v>
      </c>
      <c r="C333" s="2" t="s">
        <v>750</v>
      </c>
      <c r="D333" s="2" t="str">
        <f>IFERROR(__xludf.DUMMYFUNCTION("""COMPUTED_VALUE"""),"Wheat, Soy")</f>
        <v>Wheat, Soy</v>
      </c>
      <c r="E333" s="2" t="s">
        <v>18</v>
      </c>
      <c r="G333" s="2" t="s">
        <v>19</v>
      </c>
      <c r="H333" s="2" t="s">
        <v>65</v>
      </c>
    </row>
    <row r="334">
      <c r="A334" s="2" t="s">
        <v>751</v>
      </c>
      <c r="B334" s="2" t="s">
        <v>94</v>
      </c>
      <c r="C334" s="2" t="s">
        <v>752</v>
      </c>
      <c r="D334" s="2" t="str">
        <f>IFERROR(__xludf.DUMMYFUNCTION("""COMPUTED_VALUE"""),"Sweeteners")</f>
        <v>Sweeteners</v>
      </c>
      <c r="L334" s="2" t="s">
        <v>20</v>
      </c>
    </row>
    <row r="335">
      <c r="A335" s="2" t="s">
        <v>753</v>
      </c>
      <c r="B335" s="2" t="s">
        <v>94</v>
      </c>
      <c r="C335" s="2" t="s">
        <v>754</v>
      </c>
      <c r="D335" s="2" t="str">
        <f>IFERROR(__xludf.DUMMYFUNCTION("""COMPUTED_VALUE"""),"Wheat, Soy, Sweeteners")</f>
        <v>Wheat, Soy, Sweeteners</v>
      </c>
      <c r="E335" s="2" t="s">
        <v>18</v>
      </c>
      <c r="G335" s="2" t="s">
        <v>19</v>
      </c>
      <c r="H335" s="2" t="s">
        <v>65</v>
      </c>
      <c r="L335" s="2" t="s">
        <v>20</v>
      </c>
    </row>
    <row r="336">
      <c r="A336" s="2" t="s">
        <v>755</v>
      </c>
      <c r="B336" s="2" t="s">
        <v>94</v>
      </c>
      <c r="C336" s="2" t="s">
        <v>756</v>
      </c>
      <c r="D336" s="2" t="str">
        <f>IFERROR(__xludf.DUMMYFUNCTION("""COMPUTED_VALUE"""),"Soy, Sweeteners, Caffeine")</f>
        <v>Soy, Sweeteners, Caffeine</v>
      </c>
      <c r="E336" s="2" t="s">
        <v>18</v>
      </c>
      <c r="H336" s="2" t="s">
        <v>65</v>
      </c>
      <c r="L336" s="2" t="s">
        <v>436</v>
      </c>
    </row>
    <row r="337">
      <c r="A337" s="2" t="s">
        <v>757</v>
      </c>
      <c r="B337" s="2" t="s">
        <v>94</v>
      </c>
      <c r="C337" s="2" t="s">
        <v>758</v>
      </c>
      <c r="D337" s="2" t="str">
        <f>IFERROR(__xludf.DUMMYFUNCTION("""COMPUTED_VALUE"""),"Leafy Greens")</f>
        <v>Leafy Greens</v>
      </c>
      <c r="I337" s="2" t="s">
        <v>399</v>
      </c>
    </row>
    <row r="338">
      <c r="A338" s="2" t="s">
        <v>759</v>
      </c>
      <c r="B338" s="2" t="s">
        <v>94</v>
      </c>
      <c r="C338" s="2" t="s">
        <v>760</v>
      </c>
      <c r="D338" s="2" t="str">
        <f>IFERROR(__xludf.DUMMYFUNCTION("""COMPUTED_VALUE"""),"Wheat")</f>
        <v>Wheat</v>
      </c>
      <c r="G338" s="2" t="s">
        <v>19</v>
      </c>
    </row>
    <row r="339">
      <c r="A339" s="2" t="s">
        <v>761</v>
      </c>
      <c r="B339" s="2" t="s">
        <v>94</v>
      </c>
      <c r="C339" s="2" t="s">
        <v>762</v>
      </c>
      <c r="D339" s="2" t="str">
        <f>IFERROR(__xludf.DUMMYFUNCTION("""COMPUTED_VALUE"""),"#N/A")</f>
        <v>#N/A</v>
      </c>
      <c r="E339" s="2" t="s">
        <v>18</v>
      </c>
    </row>
    <row r="340">
      <c r="A340" s="2" t="s">
        <v>763</v>
      </c>
      <c r="B340" s="2" t="s">
        <v>94</v>
      </c>
      <c r="C340" s="2" t="s">
        <v>764</v>
      </c>
      <c r="D340" s="2" t="str">
        <f>IFERROR(__xludf.DUMMYFUNCTION("""COMPUTED_VALUE"""),"Soy")</f>
        <v>Soy</v>
      </c>
      <c r="H340" s="2" t="s">
        <v>65</v>
      </c>
    </row>
    <row r="341">
      <c r="A341" s="2" t="s">
        <v>765</v>
      </c>
      <c r="B341" s="2" t="s">
        <v>94</v>
      </c>
      <c r="C341" s="2" t="s">
        <v>766</v>
      </c>
      <c r="D341" s="2" t="str">
        <f>IFERROR(__xludf.DUMMYFUNCTION("""COMPUTED_VALUE"""),"#N/A")</f>
        <v>#N/A</v>
      </c>
      <c r="E341" s="2" t="s">
        <v>30</v>
      </c>
    </row>
    <row r="342">
      <c r="A342" s="2" t="s">
        <v>767</v>
      </c>
      <c r="B342" s="2" t="s">
        <v>94</v>
      </c>
      <c r="C342" s="2" t="s">
        <v>768</v>
      </c>
      <c r="D342" s="2" t="str">
        <f>IFERROR(__xludf.DUMMYFUNCTION("""COMPUTED_VALUE"""),"Dried Herbs &amp; Spices, Spicy")</f>
        <v>Dried Herbs &amp; Spices, Spicy</v>
      </c>
      <c r="K342" s="2" t="s">
        <v>71</v>
      </c>
    </row>
    <row r="343">
      <c r="A343" s="2" t="s">
        <v>769</v>
      </c>
      <c r="B343" s="2" t="s">
        <v>94</v>
      </c>
      <c r="C343" s="2" t="s">
        <v>770</v>
      </c>
      <c r="D343" s="2" t="str">
        <f>IFERROR(__xludf.DUMMYFUNCTION("""COMPUTED_VALUE"""),"Nightshades, Alliums, Citrus, Dried Herbs &amp; Spices, Spicy")</f>
        <v>Nightshades, Alliums, Citrus, Dried Herbs &amp; Spices, Spicy</v>
      </c>
      <c r="I343" s="2" t="s">
        <v>57</v>
      </c>
      <c r="J343" s="2" t="s">
        <v>128</v>
      </c>
      <c r="K343" s="2" t="s">
        <v>71</v>
      </c>
    </row>
    <row r="344">
      <c r="A344" s="2" t="s">
        <v>771</v>
      </c>
      <c r="B344" s="2" t="s">
        <v>94</v>
      </c>
      <c r="C344" s="2" t="s">
        <v>772</v>
      </c>
      <c r="D344" s="2" t="str">
        <f>IFERROR(__xludf.DUMMYFUNCTION("""COMPUTED_VALUE"""),"Nightshades, Alliums, Citrus, Dried Herbs &amp; Spices, Spicy")</f>
        <v>Nightshades, Alliums, Citrus, Dried Herbs &amp; Spices, Spicy</v>
      </c>
      <c r="I344" s="2" t="s">
        <v>57</v>
      </c>
      <c r="J344" s="2" t="s">
        <v>128</v>
      </c>
      <c r="K344" s="2" t="s">
        <v>71</v>
      </c>
    </row>
    <row r="345">
      <c r="A345" s="2" t="s">
        <v>773</v>
      </c>
      <c r="B345" s="2" t="s">
        <v>94</v>
      </c>
      <c r="C345" s="2" t="s">
        <v>774</v>
      </c>
      <c r="D345" s="2" t="str">
        <f>IFERROR(__xludf.DUMMYFUNCTION("""COMPUTED_VALUE"""),"Nightshades, Alliums, Citrus, Dried Herbs &amp; Spices, Spicy")</f>
        <v>Nightshades, Alliums, Citrus, Dried Herbs &amp; Spices, Spicy</v>
      </c>
      <c r="I345" s="2" t="s">
        <v>57</v>
      </c>
      <c r="J345" s="2" t="s">
        <v>128</v>
      </c>
      <c r="K345" s="2" t="s">
        <v>71</v>
      </c>
    </row>
    <row r="346">
      <c r="A346" s="2" t="s">
        <v>775</v>
      </c>
      <c r="B346" s="2" t="s">
        <v>94</v>
      </c>
      <c r="C346" s="2" t="s">
        <v>776</v>
      </c>
      <c r="D346" s="2" t="str">
        <f>IFERROR(__xludf.DUMMYFUNCTION("""COMPUTED_VALUE"""),"Nightshades, Alliums, Citrus, Dried Herbs &amp; Spices, Spicy")</f>
        <v>Nightshades, Alliums, Citrus, Dried Herbs &amp; Spices, Spicy</v>
      </c>
      <c r="I346" s="2" t="s">
        <v>57</v>
      </c>
      <c r="J346" s="2" t="s">
        <v>128</v>
      </c>
      <c r="K346" s="2" t="s">
        <v>71</v>
      </c>
    </row>
    <row r="347">
      <c r="A347" s="2" t="s">
        <v>777</v>
      </c>
      <c r="B347" s="2" t="s">
        <v>94</v>
      </c>
      <c r="C347" s="2" t="s">
        <v>778</v>
      </c>
      <c r="D347" s="2" t="str">
        <f>IFERROR(__xludf.DUMMYFUNCTION("""COMPUTED_VALUE"""),"Nightshades, Alliums, Citrus, Dried Herbs &amp; Spices, Spicy")</f>
        <v>Nightshades, Alliums, Citrus, Dried Herbs &amp; Spices, Spicy</v>
      </c>
      <c r="I347" s="2" t="s">
        <v>57</v>
      </c>
      <c r="J347" s="2" t="s">
        <v>128</v>
      </c>
      <c r="K347" s="2" t="s">
        <v>71</v>
      </c>
    </row>
    <row r="348">
      <c r="A348" s="2" t="s">
        <v>779</v>
      </c>
      <c r="B348" s="2" t="s">
        <v>94</v>
      </c>
      <c r="C348" s="2" t="s">
        <v>780</v>
      </c>
      <c r="D348" s="2" t="str">
        <f>IFERROR(__xludf.DUMMYFUNCTION("""COMPUTED_VALUE"""),"Dried Herbs &amp; Spices, Spicy")</f>
        <v>Dried Herbs &amp; Spices, Spicy</v>
      </c>
      <c r="K348" s="2" t="s">
        <v>71</v>
      </c>
    </row>
    <row r="349">
      <c r="A349" s="2" t="s">
        <v>781</v>
      </c>
      <c r="B349" s="2" t="s">
        <v>94</v>
      </c>
      <c r="C349" s="2" t="s">
        <v>782</v>
      </c>
      <c r="D349" s="2" t="str">
        <f>IFERROR(__xludf.DUMMYFUNCTION("""COMPUTED_VALUE"""),"Nightshades, Alliums, Citrus, Dried Herbs &amp; Spices, Spicy")</f>
        <v>Nightshades, Alliums, Citrus, Dried Herbs &amp; Spices, Spicy</v>
      </c>
      <c r="I349" s="2" t="s">
        <v>57</v>
      </c>
      <c r="J349" s="2" t="s">
        <v>128</v>
      </c>
      <c r="K349" s="2" t="s">
        <v>71</v>
      </c>
    </row>
    <row r="350">
      <c r="A350" s="2" t="s">
        <v>783</v>
      </c>
      <c r="B350" s="2" t="s">
        <v>94</v>
      </c>
      <c r="C350" s="2" t="s">
        <v>784</v>
      </c>
      <c r="D350" s="2" t="str">
        <f>IFERROR(__xludf.DUMMYFUNCTION("""COMPUTED_VALUE"""),"Dried Herbs &amp; Spices, Spicy")</f>
        <v>Dried Herbs &amp; Spices, Spicy</v>
      </c>
      <c r="K350" s="2" t="s">
        <v>71</v>
      </c>
    </row>
    <row r="351">
      <c r="A351" s="2" t="s">
        <v>785</v>
      </c>
      <c r="B351" s="2" t="s">
        <v>94</v>
      </c>
      <c r="C351" s="2" t="s">
        <v>786</v>
      </c>
      <c r="D351" s="2" t="str">
        <f>IFERROR(__xludf.DUMMYFUNCTION("""COMPUTED_VALUE"""),"Dried Herbs &amp; Spices, Spicy")</f>
        <v>Dried Herbs &amp; Spices, Spicy</v>
      </c>
      <c r="K351" s="2" t="s">
        <v>71</v>
      </c>
    </row>
    <row r="352">
      <c r="A352" s="2" t="s">
        <v>787</v>
      </c>
      <c r="B352" s="2" t="s">
        <v>94</v>
      </c>
      <c r="C352" s="2" t="s">
        <v>788</v>
      </c>
      <c r="D352" s="2" t="str">
        <f>IFERROR(__xludf.DUMMYFUNCTION("""COMPUTED_VALUE"""),"Nightshades, Alliums, Citrus, Dried Herbs &amp; Spices, Spicy")</f>
        <v>Nightshades, Alliums, Citrus, Dried Herbs &amp; Spices, Spicy</v>
      </c>
      <c r="I352" s="2" t="s">
        <v>57</v>
      </c>
      <c r="J352" s="2" t="s">
        <v>128</v>
      </c>
      <c r="K352" s="2" t="s">
        <v>71</v>
      </c>
    </row>
    <row r="353">
      <c r="A353" s="2" t="s">
        <v>789</v>
      </c>
      <c r="B353" s="2" t="s">
        <v>94</v>
      </c>
      <c r="C353" s="2" t="s">
        <v>790</v>
      </c>
      <c r="D353" s="2" t="str">
        <f>IFERROR(__xludf.DUMMYFUNCTION("""COMPUTED_VALUE"""),"Nightshades, Alliums, Dried Herbs &amp; Spices, Spicy, Sweeteners")</f>
        <v>Nightshades, Alliums, Dried Herbs &amp; Spices, Spicy, Sweeteners</v>
      </c>
      <c r="I353" s="2" t="s">
        <v>57</v>
      </c>
      <c r="K353" s="2" t="s">
        <v>71</v>
      </c>
      <c r="L353" s="2" t="s">
        <v>20</v>
      </c>
    </row>
    <row r="354">
      <c r="A354" s="2" t="s">
        <v>791</v>
      </c>
      <c r="B354" s="2" t="s">
        <v>94</v>
      </c>
      <c r="C354" s="2" t="s">
        <v>792</v>
      </c>
      <c r="D354" s="2" t="str">
        <f>IFERROR(__xludf.DUMMYFUNCTION("""COMPUTED_VALUE"""),"Nightshades, Alliums, Citrus, Dried Herbs &amp; Spices, Spicy")</f>
        <v>Nightshades, Alliums, Citrus, Dried Herbs &amp; Spices, Spicy</v>
      </c>
      <c r="I354" s="2" t="s">
        <v>57</v>
      </c>
      <c r="J354" s="2" t="s">
        <v>128</v>
      </c>
      <c r="K354" s="2" t="s">
        <v>71</v>
      </c>
    </row>
    <row r="355">
      <c r="A355" s="2" t="s">
        <v>793</v>
      </c>
      <c r="B355" s="2" t="s">
        <v>94</v>
      </c>
      <c r="C355" s="2" t="s">
        <v>794</v>
      </c>
      <c r="D355" s="2" t="str">
        <f>IFERROR(__xludf.DUMMYFUNCTION("""COMPUTED_VALUE"""),"Cruciferous")</f>
        <v>Cruciferous</v>
      </c>
      <c r="I355" s="2" t="s">
        <v>710</v>
      </c>
    </row>
    <row r="356">
      <c r="A356" s="2" t="s">
        <v>795</v>
      </c>
      <c r="B356" s="2" t="s">
        <v>94</v>
      </c>
      <c r="C356" s="2" t="s">
        <v>796</v>
      </c>
      <c r="D356" s="2" t="str">
        <f>IFERROR(__xludf.DUMMYFUNCTION("""COMPUTED_VALUE"""),"Cruciferous")</f>
        <v>Cruciferous</v>
      </c>
      <c r="I356" s="2" t="s">
        <v>710</v>
      </c>
    </row>
    <row r="357">
      <c r="A357" s="2" t="s">
        <v>797</v>
      </c>
      <c r="B357" s="2" t="s">
        <v>94</v>
      </c>
      <c r="C357" s="2" t="s">
        <v>798</v>
      </c>
      <c r="D357" s="2" t="str">
        <f>IFERROR(__xludf.DUMMYFUNCTION("""COMPUTED_VALUE"""),"Stone Fruits")</f>
        <v>Stone Fruits</v>
      </c>
      <c r="J357" s="2" t="s">
        <v>147</v>
      </c>
    </row>
    <row r="358">
      <c r="A358" s="2" t="s">
        <v>799</v>
      </c>
      <c r="B358" s="2" t="s">
        <v>94</v>
      </c>
      <c r="C358" s="2" t="s">
        <v>800</v>
      </c>
      <c r="D358" s="2" t="str">
        <f>IFERROR(__xludf.DUMMYFUNCTION("""COMPUTED_VALUE"""),"Stone Fruits")</f>
        <v>Stone Fruits</v>
      </c>
      <c r="J358" s="2" t="s">
        <v>147</v>
      </c>
    </row>
    <row r="359">
      <c r="A359" s="2" t="s">
        <v>801</v>
      </c>
      <c r="B359" s="2" t="s">
        <v>94</v>
      </c>
      <c r="C359" s="2" t="s">
        <v>802</v>
      </c>
      <c r="D359" s="2" t="str">
        <f>IFERROR(__xludf.DUMMYFUNCTION("""COMPUTED_VALUE"""),"Soy")</f>
        <v>Soy</v>
      </c>
      <c r="H359" s="2" t="s">
        <v>65</v>
      </c>
    </row>
    <row r="360">
      <c r="A360" s="2" t="s">
        <v>803</v>
      </c>
      <c r="B360" s="2" t="s">
        <v>94</v>
      </c>
      <c r="C360" s="2" t="s">
        <v>804</v>
      </c>
      <c r="D360" s="2" t="str">
        <f>IFERROR(__xludf.DUMMYFUNCTION("""COMPUTED_VALUE"""),"Caffeine")</f>
        <v>Caffeine</v>
      </c>
      <c r="L360" s="2" t="s">
        <v>249</v>
      </c>
    </row>
    <row r="361">
      <c r="A361" s="2" t="s">
        <v>805</v>
      </c>
      <c r="B361" s="2" t="s">
        <v>94</v>
      </c>
      <c r="C361" s="2" t="s">
        <v>806</v>
      </c>
      <c r="D361" s="2" t="str">
        <f>IFERROR(__xludf.DUMMYFUNCTION("""COMPUTED_VALUE"""),"#N/A")</f>
        <v>#N/A</v>
      </c>
      <c r="E361" s="2" t="s">
        <v>18</v>
      </c>
    </row>
    <row r="362">
      <c r="A362" s="2" t="s">
        <v>807</v>
      </c>
      <c r="B362" s="2" t="s">
        <v>94</v>
      </c>
      <c r="C362" s="2" t="s">
        <v>808</v>
      </c>
      <c r="D362" s="2" t="str">
        <f>IFERROR(__xludf.DUMMYFUNCTION("""COMPUTED_VALUE"""),"Peanuts")</f>
        <v>Peanuts</v>
      </c>
      <c r="H362" s="2" t="s">
        <v>47</v>
      </c>
    </row>
    <row r="363">
      <c r="A363" s="2" t="s">
        <v>809</v>
      </c>
      <c r="B363" s="2" t="s">
        <v>94</v>
      </c>
      <c r="C363" s="2" t="s">
        <v>810</v>
      </c>
      <c r="D363" s="2" t="str">
        <f>IFERROR(__xludf.DUMMYFUNCTION("""COMPUTED_VALUE"""),"#N/A")</f>
        <v>#N/A</v>
      </c>
      <c r="E363" s="2" t="s">
        <v>18</v>
      </c>
    </row>
    <row r="364">
      <c r="A364" s="2" t="s">
        <v>811</v>
      </c>
      <c r="B364" s="2" t="s">
        <v>94</v>
      </c>
      <c r="C364" s="2" t="s">
        <v>812</v>
      </c>
      <c r="D364" s="2" t="str">
        <f>IFERROR(__xludf.DUMMYFUNCTION("""COMPUTED_VALUE"""),"Lactose-Free, Soy")</f>
        <v>Lactose-Free, Soy</v>
      </c>
      <c r="F364" s="2" t="s">
        <v>100</v>
      </c>
      <c r="H364" s="2" t="s">
        <v>65</v>
      </c>
    </row>
    <row r="365">
      <c r="A365" s="2" t="s">
        <v>813</v>
      </c>
      <c r="B365" s="2" t="s">
        <v>94</v>
      </c>
      <c r="C365" s="2" t="s">
        <v>814</v>
      </c>
      <c r="D365" s="2" t="str">
        <f>IFERROR(__xludf.DUMMYFUNCTION("""COMPUTED_VALUE"""),"Soy")</f>
        <v>Soy</v>
      </c>
      <c r="H365" s="2" t="s">
        <v>65</v>
      </c>
    </row>
    <row r="366">
      <c r="A366" s="2" t="s">
        <v>815</v>
      </c>
      <c r="B366" s="2" t="s">
        <v>94</v>
      </c>
      <c r="C366" s="2" t="s">
        <v>816</v>
      </c>
      <c r="D366" s="2" t="str">
        <f>IFERROR(__xludf.DUMMYFUNCTION("""COMPUTED_VALUE"""),"Soy")</f>
        <v>Soy</v>
      </c>
      <c r="H366" s="2" t="s">
        <v>65</v>
      </c>
    </row>
    <row r="367">
      <c r="A367" s="2" t="s">
        <v>817</v>
      </c>
      <c r="B367" s="2" t="s">
        <v>94</v>
      </c>
      <c r="C367" s="2" t="s">
        <v>818</v>
      </c>
      <c r="D367" s="2" t="str">
        <f>IFERROR(__xludf.DUMMYFUNCTION("""COMPUTED_VALUE"""),"#N/A")</f>
        <v>#N/A</v>
      </c>
      <c r="E367" s="2" t="s">
        <v>18</v>
      </c>
    </row>
    <row r="368">
      <c r="A368" s="2" t="s">
        <v>819</v>
      </c>
      <c r="B368" s="2" t="s">
        <v>94</v>
      </c>
      <c r="C368" s="2" t="s">
        <v>820</v>
      </c>
      <c r="D368" s="2" t="str">
        <f>IFERROR(__xludf.DUMMYFUNCTION("""COMPUTED_VALUE"""),"Wheat, Sweeteners")</f>
        <v>Wheat, Sweeteners</v>
      </c>
      <c r="G368" s="2" t="s">
        <v>19</v>
      </c>
      <c r="L368" s="2" t="s">
        <v>20</v>
      </c>
    </row>
    <row r="369">
      <c r="A369" s="2" t="s">
        <v>821</v>
      </c>
      <c r="B369" s="2" t="s">
        <v>94</v>
      </c>
      <c r="C369" s="2" t="s">
        <v>822</v>
      </c>
      <c r="D369" s="2" t="str">
        <f>IFERROR(__xludf.DUMMYFUNCTION("""COMPUTED_VALUE"""),"Peanuts, Soy, Sweeteners, Caffeine")</f>
        <v>Peanuts, Soy, Sweeteners, Caffeine</v>
      </c>
      <c r="E369" s="2" t="s">
        <v>18</v>
      </c>
      <c r="H369" s="2" t="s">
        <v>823</v>
      </c>
      <c r="L369" s="2" t="s">
        <v>436</v>
      </c>
    </row>
    <row r="370">
      <c r="A370" s="2" t="s">
        <v>824</v>
      </c>
      <c r="B370" s="2" t="s">
        <v>94</v>
      </c>
      <c r="C370" s="2" t="s">
        <v>825</v>
      </c>
      <c r="D370" s="2" t="str">
        <f>IFERROR(__xludf.DUMMYFUNCTION("""COMPUTED_VALUE"""),"Caffeine")</f>
        <v>Caffeine</v>
      </c>
      <c r="L370" s="2" t="s">
        <v>249</v>
      </c>
    </row>
    <row r="371">
      <c r="A371" s="2" t="s">
        <v>826</v>
      </c>
      <c r="B371" s="2" t="s">
        <v>94</v>
      </c>
      <c r="C371" s="2" t="s">
        <v>827</v>
      </c>
      <c r="D371" s="2" t="str">
        <f>IFERROR(__xludf.DUMMYFUNCTION("""COMPUTED_VALUE"""),"Sweeteners")</f>
        <v>Sweeteners</v>
      </c>
      <c r="L371" s="2" t="s">
        <v>20</v>
      </c>
    </row>
    <row r="372">
      <c r="A372" s="2" t="s">
        <v>828</v>
      </c>
      <c r="B372" s="2" t="s">
        <v>94</v>
      </c>
      <c r="C372" s="2" t="s">
        <v>829</v>
      </c>
      <c r="D372" s="2" t="str">
        <f>IFERROR(__xludf.DUMMYFUNCTION("""COMPUTED_VALUE"""),"Sweeteners")</f>
        <v>Sweeteners</v>
      </c>
      <c r="L372" s="2" t="s">
        <v>20</v>
      </c>
    </row>
    <row r="373">
      <c r="A373" s="2" t="s">
        <v>830</v>
      </c>
      <c r="B373" s="2" t="s">
        <v>94</v>
      </c>
      <c r="C373" s="2" t="s">
        <v>831</v>
      </c>
      <c r="D373" s="2" t="str">
        <f>IFERROR(__xludf.DUMMYFUNCTION("""COMPUTED_VALUE"""),"Citrus")</f>
        <v>Citrus</v>
      </c>
      <c r="J373" s="2" t="s">
        <v>128</v>
      </c>
    </row>
    <row r="374">
      <c r="A374" s="2" t="s">
        <v>832</v>
      </c>
      <c r="B374" s="2" t="s">
        <v>94</v>
      </c>
      <c r="C374" s="2" t="s">
        <v>833</v>
      </c>
      <c r="D374" s="2" t="str">
        <f>IFERROR(__xludf.DUMMYFUNCTION("""COMPUTED_VALUE"""),"Beans")</f>
        <v>Beans</v>
      </c>
      <c r="H374" s="2" t="s">
        <v>296</v>
      </c>
    </row>
    <row r="375">
      <c r="A375" s="2" t="s">
        <v>834</v>
      </c>
      <c r="B375" s="2" t="s">
        <v>94</v>
      </c>
      <c r="C375" s="2" t="s">
        <v>835</v>
      </c>
      <c r="D375" s="2" t="str">
        <f>IFERROR(__xludf.DUMMYFUNCTION("""COMPUTED_VALUE"""),"Beans")</f>
        <v>Beans</v>
      </c>
      <c r="H375" s="2" t="s">
        <v>296</v>
      </c>
    </row>
    <row r="376">
      <c r="A376" s="2" t="s">
        <v>836</v>
      </c>
      <c r="B376" s="2" t="s">
        <v>94</v>
      </c>
      <c r="C376" s="2" t="s">
        <v>837</v>
      </c>
      <c r="D376" s="2" t="str">
        <f>IFERROR(__xludf.DUMMYFUNCTION("""COMPUTED_VALUE"""),"Caffeine, Sweeteners")</f>
        <v>Caffeine, Sweeteners</v>
      </c>
      <c r="E376" s="2" t="s">
        <v>18</v>
      </c>
      <c r="L376" s="2" t="s">
        <v>742</v>
      </c>
    </row>
    <row r="377">
      <c r="A377" s="2" t="s">
        <v>838</v>
      </c>
      <c r="B377" s="2" t="s">
        <v>94</v>
      </c>
      <c r="C377" s="2" t="s">
        <v>839</v>
      </c>
      <c r="D377" s="2" t="str">
        <f>IFERROR(__xludf.DUMMYFUNCTION("""COMPUTED_VALUE"""),"Sweeteners")</f>
        <v>Sweeteners</v>
      </c>
      <c r="E377" s="2" t="s">
        <v>18</v>
      </c>
      <c r="L377" s="2" t="s">
        <v>20</v>
      </c>
    </row>
    <row r="378">
      <c r="A378" s="2" t="s">
        <v>840</v>
      </c>
      <c r="B378" s="2" t="s">
        <v>94</v>
      </c>
      <c r="C378" s="2" t="s">
        <v>841</v>
      </c>
      <c r="D378" s="2" t="str">
        <f>IFERROR(__xludf.DUMMYFUNCTION("""COMPUTED_VALUE"""),"Wheat, Soy, Sweeteners, Caffeine")</f>
        <v>Wheat, Soy, Sweeteners, Caffeine</v>
      </c>
      <c r="E378" s="2" t="s">
        <v>18</v>
      </c>
      <c r="G378" s="2" t="s">
        <v>19</v>
      </c>
      <c r="H378" s="2" t="s">
        <v>65</v>
      </c>
      <c r="L378" s="2" t="s">
        <v>436</v>
      </c>
    </row>
    <row r="379">
      <c r="A379" s="2" t="s">
        <v>842</v>
      </c>
      <c r="B379" s="2" t="s">
        <v>94</v>
      </c>
      <c r="C379" s="2" t="s">
        <v>843</v>
      </c>
      <c r="D379" s="2" t="str">
        <f>IFERROR(__xludf.DUMMYFUNCTION("""COMPUTED_VALUE"""),"Soy, Caffeine")</f>
        <v>Soy, Caffeine</v>
      </c>
      <c r="H379" s="2" t="s">
        <v>65</v>
      </c>
      <c r="L379" s="2" t="s">
        <v>249</v>
      </c>
    </row>
    <row r="380">
      <c r="A380" s="2" t="s">
        <v>844</v>
      </c>
      <c r="B380" s="2" t="s">
        <v>94</v>
      </c>
      <c r="C380" s="2" t="s">
        <v>845</v>
      </c>
      <c r="D380" s="2" t="str">
        <f>IFERROR(__xludf.DUMMYFUNCTION("""COMPUTED_VALUE"""),"#N/A")</f>
        <v>#N/A</v>
      </c>
      <c r="E380" s="2" t="s">
        <v>18</v>
      </c>
    </row>
    <row r="381">
      <c r="A381" s="2" t="s">
        <v>846</v>
      </c>
      <c r="B381" s="2" t="s">
        <v>94</v>
      </c>
      <c r="C381" s="2" t="s">
        <v>847</v>
      </c>
      <c r="D381" s="2" t="str">
        <f>IFERROR(__xludf.DUMMYFUNCTION("""COMPUTED_VALUE"""),"Wheat, Corn, Soy, Sweeteners")</f>
        <v>Wheat, Corn, Soy, Sweeteners</v>
      </c>
      <c r="G381" s="2" t="s">
        <v>200</v>
      </c>
      <c r="H381" s="2" t="s">
        <v>65</v>
      </c>
      <c r="L381" s="2" t="s">
        <v>20</v>
      </c>
    </row>
    <row r="382">
      <c r="A382" s="2" t="s">
        <v>848</v>
      </c>
      <c r="B382" s="2" t="s">
        <v>94</v>
      </c>
      <c r="C382" s="2" t="s">
        <v>849</v>
      </c>
      <c r="D382" s="2" t="str">
        <f>IFERROR(__xludf.DUMMYFUNCTION("""COMPUTED_VALUE"""),"Soy, Sweeteners")</f>
        <v>Soy, Sweeteners</v>
      </c>
      <c r="E382" s="2" t="s">
        <v>18</v>
      </c>
      <c r="H382" s="2" t="s">
        <v>65</v>
      </c>
      <c r="L382" s="2" t="s">
        <v>20</v>
      </c>
    </row>
    <row r="383">
      <c r="A383" s="2" t="s">
        <v>850</v>
      </c>
      <c r="B383" s="2" t="s">
        <v>94</v>
      </c>
      <c r="C383" s="2" t="s">
        <v>851</v>
      </c>
      <c r="D383" s="2" t="str">
        <f>IFERROR(__xludf.DUMMYFUNCTION("""COMPUTED_VALUE"""),"#N/A")</f>
        <v>#N/A</v>
      </c>
      <c r="E383" s="2" t="s">
        <v>18</v>
      </c>
    </row>
    <row r="384">
      <c r="A384" s="2" t="s">
        <v>852</v>
      </c>
      <c r="B384" s="2" t="s">
        <v>94</v>
      </c>
      <c r="C384" s="2" t="s">
        <v>853</v>
      </c>
      <c r="D384" s="2" t="str">
        <f>IFERROR(__xludf.DUMMYFUNCTION("""COMPUTED_VALUE"""),"#N/A")</f>
        <v>#N/A</v>
      </c>
      <c r="E384" s="2" t="s">
        <v>854</v>
      </c>
    </row>
    <row r="385">
      <c r="A385" s="2" t="s">
        <v>855</v>
      </c>
      <c r="B385" s="2" t="s">
        <v>94</v>
      </c>
      <c r="C385" s="2" t="s">
        <v>856</v>
      </c>
      <c r="D385" s="2" t="str">
        <f>IFERROR(__xludf.DUMMYFUNCTION("""COMPUTED_VALUE"""),"Potatoes")</f>
        <v>Potatoes</v>
      </c>
      <c r="G385" s="2" t="s">
        <v>189</v>
      </c>
    </row>
    <row r="386">
      <c r="A386" s="2" t="s">
        <v>857</v>
      </c>
      <c r="B386" s="2" t="s">
        <v>94</v>
      </c>
      <c r="C386" s="2" t="s">
        <v>858</v>
      </c>
      <c r="D386" s="2" t="str">
        <f>IFERROR(__xludf.DUMMYFUNCTION("""COMPUTED_VALUE"""),"Wheat, Dried Herbs &amp; Spices, Sweeteners")</f>
        <v>Wheat, Dried Herbs &amp; Spices, Sweeteners</v>
      </c>
      <c r="G386" s="2" t="s">
        <v>19</v>
      </c>
      <c r="K386" s="2" t="s">
        <v>27</v>
      </c>
      <c r="L386" s="2" t="s">
        <v>20</v>
      </c>
    </row>
    <row r="387">
      <c r="A387" s="2" t="s">
        <v>859</v>
      </c>
      <c r="B387" s="2" t="s">
        <v>94</v>
      </c>
      <c r="C387" s="2" t="s">
        <v>860</v>
      </c>
      <c r="D387" s="2" t="str">
        <f>IFERROR(__xludf.DUMMYFUNCTION("""COMPUTED_VALUE"""),"#N/A")</f>
        <v>#N/A</v>
      </c>
      <c r="E387" s="2" t="s">
        <v>739</v>
      </c>
    </row>
    <row r="388">
      <c r="A388" s="2" t="s">
        <v>861</v>
      </c>
      <c r="B388" s="2" t="s">
        <v>94</v>
      </c>
      <c r="C388" s="2" t="s">
        <v>862</v>
      </c>
      <c r="D388" s="2" t="str">
        <f>IFERROR(__xludf.DUMMYFUNCTION("""COMPUTED_VALUE"""),"#N/A")</f>
        <v>#N/A</v>
      </c>
      <c r="E388" s="2" t="s">
        <v>739</v>
      </c>
    </row>
    <row r="389">
      <c r="A389" s="2" t="s">
        <v>863</v>
      </c>
      <c r="B389" s="2" t="s">
        <v>94</v>
      </c>
      <c r="C389" s="2" t="s">
        <v>864</v>
      </c>
      <c r="D389" s="2" t="str">
        <f>IFERROR(__xludf.DUMMYFUNCTION("""COMPUTED_VALUE"""),"#N/A")</f>
        <v>#N/A</v>
      </c>
      <c r="E389" s="2" t="s">
        <v>739</v>
      </c>
    </row>
    <row r="390">
      <c r="A390" s="2" t="s">
        <v>865</v>
      </c>
      <c r="B390" s="2" t="s">
        <v>94</v>
      </c>
      <c r="C390" s="2" t="s">
        <v>866</v>
      </c>
      <c r="D390" s="2" t="str">
        <f>IFERROR(__xludf.DUMMYFUNCTION("""COMPUTED_VALUE"""),"#N/A")</f>
        <v>#N/A</v>
      </c>
      <c r="E390" s="2" t="s">
        <v>739</v>
      </c>
    </row>
    <row r="391">
      <c r="A391" s="2" t="s">
        <v>867</v>
      </c>
      <c r="B391" s="2" t="s">
        <v>94</v>
      </c>
      <c r="C391" s="2" t="s">
        <v>868</v>
      </c>
      <c r="D391" s="2" t="str">
        <f>IFERROR(__xludf.DUMMYFUNCTION("""COMPUTED_VALUE"""),"#N/A")</f>
        <v>#N/A</v>
      </c>
      <c r="E391" s="2" t="s">
        <v>739</v>
      </c>
    </row>
    <row r="392">
      <c r="A392" s="2" t="s">
        <v>869</v>
      </c>
      <c r="B392" s="2" t="s">
        <v>94</v>
      </c>
      <c r="C392" s="2" t="s">
        <v>870</v>
      </c>
      <c r="D392" s="2" t="str">
        <f>IFERROR(__xludf.DUMMYFUNCTION("""COMPUTED_VALUE"""),"#N/A")</f>
        <v>#N/A</v>
      </c>
      <c r="E392" s="2" t="s">
        <v>739</v>
      </c>
    </row>
    <row r="393">
      <c r="A393" s="2" t="s">
        <v>871</v>
      </c>
      <c r="B393" s="2" t="s">
        <v>94</v>
      </c>
      <c r="C393" s="2" t="s">
        <v>872</v>
      </c>
      <c r="D393" s="2" t="str">
        <f>IFERROR(__xludf.DUMMYFUNCTION("""COMPUTED_VALUE"""),"#N/A")</f>
        <v>#N/A</v>
      </c>
      <c r="E393" s="2" t="s">
        <v>739</v>
      </c>
    </row>
    <row r="394">
      <c r="A394" s="2" t="s">
        <v>873</v>
      </c>
      <c r="B394" s="2" t="s">
        <v>94</v>
      </c>
      <c r="C394" s="2" t="s">
        <v>874</v>
      </c>
      <c r="D394" s="2" t="str">
        <f>IFERROR(__xludf.DUMMYFUNCTION("""COMPUTED_VALUE"""),"#N/A")</f>
        <v>#N/A</v>
      </c>
      <c r="E394" s="2" t="s">
        <v>739</v>
      </c>
    </row>
    <row r="395">
      <c r="A395" s="2" t="s">
        <v>875</v>
      </c>
      <c r="B395" s="2" t="s">
        <v>94</v>
      </c>
      <c r="C395" s="2" t="s">
        <v>876</v>
      </c>
      <c r="D395" s="2" t="str">
        <f>IFERROR(__xludf.DUMMYFUNCTION("""COMPUTED_VALUE"""),"Leafy Greens")</f>
        <v>Leafy Greens</v>
      </c>
      <c r="I395" s="2" t="s">
        <v>399</v>
      </c>
    </row>
    <row r="396">
      <c r="A396" s="2" t="s">
        <v>877</v>
      </c>
      <c r="B396" s="2" t="s">
        <v>94</v>
      </c>
      <c r="C396" s="2" t="s">
        <v>878</v>
      </c>
      <c r="D396" s="2" t="str">
        <f>IFERROR(__xludf.DUMMYFUNCTION("""COMPUTED_VALUE"""),"Soy, Dried Herbs &amp; Spices")</f>
        <v>Soy, Dried Herbs &amp; Spices</v>
      </c>
      <c r="H396" s="2" t="s">
        <v>65</v>
      </c>
      <c r="K396" s="2" t="s">
        <v>27</v>
      </c>
    </row>
    <row r="397">
      <c r="A397" s="2" t="s">
        <v>879</v>
      </c>
      <c r="B397" s="2" t="s">
        <v>94</v>
      </c>
      <c r="C397" s="2" t="s">
        <v>880</v>
      </c>
      <c r="D397" s="2" t="str">
        <f>IFERROR(__xludf.DUMMYFUNCTION("""COMPUTED_VALUE"""),"Sweeteners")</f>
        <v>Sweeteners</v>
      </c>
      <c r="E397" s="2" t="s">
        <v>18</v>
      </c>
      <c r="L397" s="2" t="s">
        <v>20</v>
      </c>
    </row>
    <row r="398">
      <c r="A398" s="2" t="s">
        <v>881</v>
      </c>
      <c r="B398" s="2" t="s">
        <v>13</v>
      </c>
      <c r="C398" s="2" t="s">
        <v>882</v>
      </c>
      <c r="D398" s="2" t="str">
        <f>IFERROR(__xludf.DUMMYFUNCTION("""COMPUTED_VALUE"""),"Wheat, Pasta Alternatives, Nightshades, Alliums, Dried Herbs &amp; Spices, Sweeteners")</f>
        <v>Wheat, Pasta Alternatives, Nightshades, Alliums, Dried Herbs &amp; Spices, Sweeteners</v>
      </c>
      <c r="G398" s="2" t="s">
        <v>883</v>
      </c>
      <c r="I398" s="2" t="s">
        <v>57</v>
      </c>
      <c r="K398" s="2" t="s">
        <v>27</v>
      </c>
      <c r="L398" s="2" t="s">
        <v>20</v>
      </c>
    </row>
    <row r="399">
      <c r="A399" s="2" t="s">
        <v>884</v>
      </c>
      <c r="B399" s="2" t="s">
        <v>94</v>
      </c>
      <c r="C399" s="2" t="s">
        <v>885</v>
      </c>
      <c r="D399" s="2" t="str">
        <f>IFERROR(__xludf.DUMMYFUNCTION("""COMPUTED_VALUE"""),"Nightshades")</f>
        <v>Nightshades</v>
      </c>
      <c r="I399" s="2" t="s">
        <v>54</v>
      </c>
    </row>
    <row r="400">
      <c r="A400" s="2" t="s">
        <v>886</v>
      </c>
      <c r="B400" s="2" t="s">
        <v>94</v>
      </c>
      <c r="C400" s="2" t="s">
        <v>887</v>
      </c>
      <c r="D400" s="2" t="str">
        <f>IFERROR(__xludf.DUMMYFUNCTION("""COMPUTED_VALUE"""),"Peanuts")</f>
        <v>Peanuts</v>
      </c>
      <c r="H400" s="2" t="s">
        <v>47</v>
      </c>
    </row>
    <row r="401">
      <c r="A401" s="2" t="s">
        <v>888</v>
      </c>
      <c r="B401" s="2" t="s">
        <v>94</v>
      </c>
      <c r="C401" s="2" t="s">
        <v>889</v>
      </c>
      <c r="D401" s="2" t="str">
        <f>IFERROR(__xludf.DUMMYFUNCTION("""COMPUTED_VALUE"""),"Nightshades, Dried Herbs &amp; Spices")</f>
        <v>Nightshades, Dried Herbs &amp; Spices</v>
      </c>
      <c r="I401" s="2" t="s">
        <v>54</v>
      </c>
      <c r="K401" s="2" t="s">
        <v>27</v>
      </c>
    </row>
    <row r="402">
      <c r="A402" s="2" t="s">
        <v>890</v>
      </c>
      <c r="B402" s="2" t="s">
        <v>94</v>
      </c>
      <c r="C402" s="2" t="s">
        <v>891</v>
      </c>
      <c r="D402" s="2" t="str">
        <f>IFERROR(__xludf.DUMMYFUNCTION("""COMPUTED_VALUE"""),"Nightshades, Dried Herbs &amp; Spices, Sweeteners")</f>
        <v>Nightshades, Dried Herbs &amp; Spices, Sweeteners</v>
      </c>
      <c r="I402" s="2" t="s">
        <v>54</v>
      </c>
      <c r="K402" s="2" t="s">
        <v>27</v>
      </c>
      <c r="L402" s="2" t="s">
        <v>20</v>
      </c>
    </row>
    <row r="403">
      <c r="A403" s="2" t="s">
        <v>892</v>
      </c>
      <c r="B403" s="2" t="s">
        <v>94</v>
      </c>
      <c r="C403" s="2" t="s">
        <v>893</v>
      </c>
      <c r="D403" s="2" t="str">
        <f>IFERROR(__xludf.DUMMYFUNCTION("""COMPUTED_VALUE"""),"Wheat, Tree Nuts, Sweeteners, Caffeine")</f>
        <v>Wheat, Tree Nuts, Sweeteners, Caffeine</v>
      </c>
      <c r="G403" s="2" t="s">
        <v>19</v>
      </c>
      <c r="H403" s="2" t="s">
        <v>44</v>
      </c>
      <c r="L403" s="2" t="s">
        <v>436</v>
      </c>
    </row>
    <row r="404">
      <c r="A404" s="2" t="s">
        <v>894</v>
      </c>
      <c r="B404" s="2" t="s">
        <v>94</v>
      </c>
      <c r="C404" s="2" t="s">
        <v>895</v>
      </c>
      <c r="D404" s="2" t="str">
        <f>IFERROR(__xludf.DUMMYFUNCTION("""COMPUTED_VALUE"""),"Nightshades, Dried Herbs &amp; Spices, Sweeteners")</f>
        <v>Nightshades, Dried Herbs &amp; Spices, Sweeteners</v>
      </c>
      <c r="I404" s="2" t="s">
        <v>54</v>
      </c>
      <c r="K404" s="2" t="s">
        <v>27</v>
      </c>
      <c r="L404" s="2" t="s">
        <v>20</v>
      </c>
    </row>
    <row r="405">
      <c r="A405" s="2" t="s">
        <v>896</v>
      </c>
      <c r="B405" s="2" t="s">
        <v>94</v>
      </c>
      <c r="C405" s="2" t="s">
        <v>897</v>
      </c>
      <c r="D405" s="2" t="str">
        <f>IFERROR(__xludf.DUMMYFUNCTION("""COMPUTED_VALUE"""),"Nightshades, Dried Herbs &amp; Spices, Sweeteners")</f>
        <v>Nightshades, Dried Herbs &amp; Spices, Sweeteners</v>
      </c>
      <c r="I405" s="2" t="s">
        <v>54</v>
      </c>
      <c r="K405" s="2" t="s">
        <v>27</v>
      </c>
      <c r="L405" s="2" t="s">
        <v>20</v>
      </c>
    </row>
    <row r="406">
      <c r="A406" s="2" t="s">
        <v>898</v>
      </c>
      <c r="B406" s="2" t="s">
        <v>94</v>
      </c>
      <c r="C406" s="2" t="s">
        <v>899</v>
      </c>
      <c r="D406" s="2" t="str">
        <f>IFERROR(__xludf.DUMMYFUNCTION("""COMPUTED_VALUE"""),"Nightshades")</f>
        <v>Nightshades</v>
      </c>
      <c r="I406" s="2" t="s">
        <v>54</v>
      </c>
    </row>
    <row r="407">
      <c r="A407" s="2" t="s">
        <v>900</v>
      </c>
      <c r="B407" s="2" t="s">
        <v>94</v>
      </c>
      <c r="C407" s="2" t="s">
        <v>901</v>
      </c>
      <c r="D407" s="2" t="str">
        <f>IFERROR(__xludf.DUMMYFUNCTION("""COMPUTED_VALUE"""),"Nightshades, Dried Herbs &amp; Spices")</f>
        <v>Nightshades, Dried Herbs &amp; Spices</v>
      </c>
      <c r="I407" s="2" t="s">
        <v>54</v>
      </c>
      <c r="K407" s="2" t="s">
        <v>27</v>
      </c>
    </row>
    <row r="408">
      <c r="A408" s="2" t="s">
        <v>902</v>
      </c>
      <c r="B408" s="2" t="s">
        <v>94</v>
      </c>
      <c r="C408" s="2" t="s">
        <v>903</v>
      </c>
      <c r="D408" s="2" t="str">
        <f>IFERROR(__xludf.DUMMYFUNCTION("""COMPUTED_VALUE"""),"Nightshades, Dried Herbs &amp; Spices, Sweeteners")</f>
        <v>Nightshades, Dried Herbs &amp; Spices, Sweeteners</v>
      </c>
      <c r="I408" s="2" t="s">
        <v>54</v>
      </c>
      <c r="K408" s="2" t="s">
        <v>27</v>
      </c>
      <c r="L408" s="2" t="s">
        <v>20</v>
      </c>
    </row>
    <row r="409">
      <c r="A409" s="2" t="s">
        <v>904</v>
      </c>
      <c r="B409" s="2" t="s">
        <v>94</v>
      </c>
      <c r="C409" s="2" t="s">
        <v>905</v>
      </c>
      <c r="D409" s="2" t="str">
        <f>IFERROR(__xludf.DUMMYFUNCTION("""COMPUTED_VALUE"""),"Others")</f>
        <v>Others</v>
      </c>
      <c r="M409" s="2" t="s">
        <v>11</v>
      </c>
    </row>
    <row r="410">
      <c r="A410" s="2" t="s">
        <v>906</v>
      </c>
      <c r="B410" s="2" t="s">
        <v>94</v>
      </c>
      <c r="C410" s="2" t="s">
        <v>907</v>
      </c>
      <c r="D410" s="2" t="str">
        <f>IFERROR(__xludf.DUMMYFUNCTION("""COMPUTED_VALUE"""),"Alcohol")</f>
        <v>Alcohol</v>
      </c>
      <c r="L410" s="2" t="s">
        <v>112</v>
      </c>
    </row>
    <row r="411">
      <c r="A411" s="2" t="s">
        <v>908</v>
      </c>
      <c r="B411" s="2" t="s">
        <v>94</v>
      </c>
      <c r="C411" s="2" t="s">
        <v>909</v>
      </c>
      <c r="D411" s="2" t="str">
        <f>IFERROR(__xludf.DUMMYFUNCTION("""COMPUTED_VALUE"""),"#N/A")</f>
        <v>#N/A</v>
      </c>
      <c r="E411" s="2" t="s">
        <v>18</v>
      </c>
    </row>
    <row r="412">
      <c r="A412" s="2" t="s">
        <v>910</v>
      </c>
      <c r="B412" s="2" t="s">
        <v>94</v>
      </c>
      <c r="C412" s="2" t="s">
        <v>911</v>
      </c>
      <c r="D412" s="2" t="str">
        <f>IFERROR(__xludf.DUMMYFUNCTION("""COMPUTED_VALUE"""),"Wheat, Alcohol")</f>
        <v>Wheat, Alcohol</v>
      </c>
      <c r="G412" s="2" t="s">
        <v>19</v>
      </c>
      <c r="L412" s="2" t="s">
        <v>112</v>
      </c>
    </row>
    <row r="413">
      <c r="A413" s="2" t="s">
        <v>912</v>
      </c>
      <c r="B413" s="2" t="s">
        <v>94</v>
      </c>
      <c r="C413" s="2" t="s">
        <v>913</v>
      </c>
      <c r="D413" s="2" t="str">
        <f>IFERROR(__xludf.DUMMYFUNCTION("""COMPUTED_VALUE"""),"Wheat, Soy, Sweeteners")</f>
        <v>Wheat, Soy, Sweeteners</v>
      </c>
      <c r="G413" s="2" t="s">
        <v>19</v>
      </c>
      <c r="H413" s="2" t="s">
        <v>65</v>
      </c>
      <c r="L413" s="2" t="s">
        <v>20</v>
      </c>
    </row>
    <row r="414">
      <c r="A414" s="2" t="s">
        <v>914</v>
      </c>
      <c r="B414" s="2" t="s">
        <v>13</v>
      </c>
      <c r="C414" s="2" t="s">
        <v>915</v>
      </c>
      <c r="D414" s="2" t="str">
        <f>IFERROR(__xludf.DUMMYFUNCTION("""COMPUTED_VALUE"""),"Non-Dairy Cheese, Soy")</f>
        <v>Non-Dairy Cheese, Soy</v>
      </c>
      <c r="F414" s="2" t="s">
        <v>916</v>
      </c>
      <c r="H414" s="2" t="s">
        <v>65</v>
      </c>
    </row>
    <row r="415">
      <c r="A415" s="2" t="s">
        <v>917</v>
      </c>
      <c r="B415" s="2" t="s">
        <v>94</v>
      </c>
      <c r="C415" s="2" t="s">
        <v>918</v>
      </c>
      <c r="D415" s="2" t="str">
        <f>IFERROR(__xludf.DUMMYFUNCTION("""COMPUTED_VALUE"""),"#N/A")</f>
        <v>#N/A</v>
      </c>
      <c r="E415" s="2" t="s">
        <v>18</v>
      </c>
    </row>
    <row r="416">
      <c r="A416" s="2" t="s">
        <v>919</v>
      </c>
      <c r="B416" s="2" t="s">
        <v>94</v>
      </c>
      <c r="C416" s="2" t="s">
        <v>920</v>
      </c>
      <c r="D416" s="2" t="str">
        <f>IFERROR(__xludf.DUMMYFUNCTION("""COMPUTED_VALUE"""),"#N/A")</f>
        <v>#N/A</v>
      </c>
      <c r="E416" s="2" t="s">
        <v>18</v>
      </c>
    </row>
    <row r="417">
      <c r="A417" s="2" t="s">
        <v>921</v>
      </c>
      <c r="B417" s="2" t="s">
        <v>94</v>
      </c>
      <c r="C417" s="2" t="s">
        <v>922</v>
      </c>
      <c r="D417" s="2" t="str">
        <f>IFERROR(__xludf.DUMMYFUNCTION("""COMPUTED_VALUE"""),"Non-Dairy Milk")</f>
        <v>Non-Dairy Milk</v>
      </c>
      <c r="F417" s="2" t="s">
        <v>445</v>
      </c>
    </row>
    <row r="418">
      <c r="A418" s="2" t="s">
        <v>923</v>
      </c>
      <c r="B418" s="2" t="s">
        <v>94</v>
      </c>
      <c r="C418" s="2" t="s">
        <v>924</v>
      </c>
      <c r="D418" s="2" t="str">
        <f>IFERROR(__xludf.DUMMYFUNCTION("""COMPUTED_VALUE"""),"#N/A")</f>
        <v>#N/A</v>
      </c>
      <c r="E418" s="2" t="s">
        <v>18</v>
      </c>
    </row>
    <row r="419">
      <c r="A419" s="2" t="s">
        <v>925</v>
      </c>
      <c r="B419" s="2" t="s">
        <v>94</v>
      </c>
      <c r="C419" s="2" t="s">
        <v>926</v>
      </c>
      <c r="D419" s="2" t="str">
        <f>IFERROR(__xludf.DUMMYFUNCTION("""COMPUTED_VALUE"""),"#N/A")</f>
        <v>#N/A</v>
      </c>
      <c r="E419" s="2" t="s">
        <v>18</v>
      </c>
    </row>
    <row r="420">
      <c r="A420" s="2" t="s">
        <v>927</v>
      </c>
      <c r="B420" s="2" t="s">
        <v>94</v>
      </c>
      <c r="C420" s="2" t="s">
        <v>928</v>
      </c>
      <c r="D420" s="2" t="str">
        <f>IFERROR(__xludf.DUMMYFUNCTION("""COMPUTED_VALUE"""),"#N/A")</f>
        <v>#N/A</v>
      </c>
      <c r="E420" s="2" t="s">
        <v>18</v>
      </c>
    </row>
    <row r="421">
      <c r="A421" s="2" t="s">
        <v>929</v>
      </c>
      <c r="B421" s="2" t="s">
        <v>94</v>
      </c>
      <c r="C421" s="2" t="s">
        <v>930</v>
      </c>
      <c r="D421" s="2" t="str">
        <f>IFERROR(__xludf.DUMMYFUNCTION("""COMPUTED_VALUE"""),"Others")</f>
        <v>Others</v>
      </c>
      <c r="M421" s="2" t="s">
        <v>11</v>
      </c>
    </row>
    <row r="422">
      <c r="A422" s="2" t="s">
        <v>931</v>
      </c>
      <c r="B422" s="2" t="s">
        <v>94</v>
      </c>
      <c r="C422" s="2" t="s">
        <v>932</v>
      </c>
      <c r="D422" s="2" t="str">
        <f>IFERROR(__xludf.DUMMYFUNCTION("""COMPUTED_VALUE"""),"Others")</f>
        <v>Others</v>
      </c>
      <c r="M422" s="2" t="s">
        <v>11</v>
      </c>
    </row>
    <row r="423">
      <c r="A423" s="2" t="s">
        <v>933</v>
      </c>
      <c r="B423" s="2" t="s">
        <v>94</v>
      </c>
      <c r="C423" s="2" t="s">
        <v>934</v>
      </c>
      <c r="D423" s="2" t="str">
        <f>IFERROR(__xludf.DUMMYFUNCTION("""COMPUTED_VALUE"""),"Wheat")</f>
        <v>Wheat</v>
      </c>
      <c r="G423" s="2" t="s">
        <v>19</v>
      </c>
    </row>
    <row r="424">
      <c r="A424" s="2" t="s">
        <v>935</v>
      </c>
      <c r="B424" s="2" t="s">
        <v>94</v>
      </c>
      <c r="C424" s="2" t="s">
        <v>936</v>
      </c>
      <c r="D424" s="2" t="str">
        <f>IFERROR(__xludf.DUMMYFUNCTION("""COMPUTED_VALUE"""),"Soy, Citrus, Sweeteners")</f>
        <v>Soy, Citrus, Sweeteners</v>
      </c>
      <c r="E424" s="2" t="s">
        <v>244</v>
      </c>
      <c r="H424" s="2" t="s">
        <v>65</v>
      </c>
      <c r="J424" s="2" t="s">
        <v>128</v>
      </c>
      <c r="L424" s="2" t="s">
        <v>20</v>
      </c>
    </row>
    <row r="425">
      <c r="A425" s="2" t="s">
        <v>937</v>
      </c>
      <c r="B425" s="2" t="s">
        <v>94</v>
      </c>
      <c r="C425" s="2" t="s">
        <v>938</v>
      </c>
      <c r="D425" s="2" t="str">
        <f>IFERROR(__xludf.DUMMYFUNCTION("""COMPUTED_VALUE"""),"Others")</f>
        <v>Others</v>
      </c>
      <c r="M425" s="2" t="s">
        <v>11</v>
      </c>
    </row>
    <row r="426">
      <c r="A426" s="2" t="s">
        <v>939</v>
      </c>
      <c r="B426" s="2" t="s">
        <v>94</v>
      </c>
      <c r="C426" s="2" t="s">
        <v>940</v>
      </c>
      <c r="D426" s="2" t="str">
        <f>IFERROR(__xludf.DUMMYFUNCTION("""COMPUTED_VALUE"""),"Others")</f>
        <v>Others</v>
      </c>
      <c r="M426" s="2" t="s">
        <v>11</v>
      </c>
    </row>
    <row r="427">
      <c r="A427" s="2" t="s">
        <v>941</v>
      </c>
      <c r="B427" s="2" t="s">
        <v>94</v>
      </c>
      <c r="C427" s="2" t="s">
        <v>942</v>
      </c>
      <c r="D427" s="2" t="str">
        <f>IFERROR(__xludf.DUMMYFUNCTION("""COMPUTED_VALUE"""),"#N/A")</f>
        <v>#N/A</v>
      </c>
      <c r="E427" s="2" t="s">
        <v>705</v>
      </c>
    </row>
    <row r="428">
      <c r="A428" s="2" t="s">
        <v>943</v>
      </c>
      <c r="B428" s="2" t="s">
        <v>94</v>
      </c>
      <c r="C428" s="2" t="s">
        <v>944</v>
      </c>
      <c r="D428" s="2" t="str">
        <f>IFERROR(__xludf.DUMMYFUNCTION("""COMPUTED_VALUE"""),"#N/A")</f>
        <v>#N/A</v>
      </c>
      <c r="E428" s="2" t="s">
        <v>30</v>
      </c>
    </row>
    <row r="429">
      <c r="A429" s="2" t="s">
        <v>945</v>
      </c>
      <c r="B429" s="2" t="s">
        <v>94</v>
      </c>
      <c r="C429" s="2" t="s">
        <v>946</v>
      </c>
      <c r="D429" s="2" t="str">
        <f>IFERROR(__xludf.DUMMYFUNCTION("""COMPUTED_VALUE"""),"#N/A")</f>
        <v>#N/A</v>
      </c>
      <c r="E429" s="2" t="s">
        <v>464</v>
      </c>
    </row>
    <row r="430">
      <c r="A430" s="2" t="s">
        <v>947</v>
      </c>
      <c r="B430" s="2" t="s">
        <v>94</v>
      </c>
      <c r="C430" s="2" t="s">
        <v>948</v>
      </c>
      <c r="D430" s="2" t="str">
        <f>IFERROR(__xludf.DUMMYFUNCTION("""COMPUTED_VALUE"""),"Soy, Tropical Fruits, Fresh Herbs, Sweeteners, Caffeine")</f>
        <v>Soy, Tropical Fruits, Fresh Herbs, Sweeteners, Caffeine</v>
      </c>
      <c r="H430" s="2" t="s">
        <v>65</v>
      </c>
      <c r="J430" s="2" t="s">
        <v>133</v>
      </c>
      <c r="K430" s="2" t="s">
        <v>332</v>
      </c>
      <c r="L430" s="2" t="s">
        <v>436</v>
      </c>
    </row>
    <row r="431">
      <c r="A431" s="2" t="s">
        <v>949</v>
      </c>
      <c r="B431" s="2" t="s">
        <v>94</v>
      </c>
      <c r="C431" s="2" t="s">
        <v>950</v>
      </c>
      <c r="D431" s="2" t="str">
        <f>IFERROR(__xludf.DUMMYFUNCTION("""COMPUTED_VALUE"""),"Soy, Sweeteners")</f>
        <v>Soy, Sweeteners</v>
      </c>
      <c r="H431" s="2" t="s">
        <v>65</v>
      </c>
      <c r="L431" s="2" t="s">
        <v>20</v>
      </c>
    </row>
    <row r="432">
      <c r="A432" s="2" t="s">
        <v>951</v>
      </c>
      <c r="B432" s="2" t="s">
        <v>94</v>
      </c>
      <c r="C432" s="2" t="s">
        <v>952</v>
      </c>
      <c r="D432" s="2" t="str">
        <f>IFERROR(__xludf.DUMMYFUNCTION("""COMPUTED_VALUE"""),"Soy, Sweeteners, Caffeine")</f>
        <v>Soy, Sweeteners, Caffeine</v>
      </c>
      <c r="H432" s="2" t="s">
        <v>65</v>
      </c>
      <c r="L432" s="2" t="s">
        <v>436</v>
      </c>
    </row>
    <row r="433">
      <c r="A433" s="2" t="s">
        <v>953</v>
      </c>
      <c r="B433" s="2" t="s">
        <v>94</v>
      </c>
      <c r="C433" s="2" t="s">
        <v>954</v>
      </c>
      <c r="D433" s="2" t="str">
        <f>IFERROR(__xludf.DUMMYFUNCTION("""COMPUTED_VALUE"""),"Soy, Sweeteners")</f>
        <v>Soy, Sweeteners</v>
      </c>
      <c r="E433" s="2" t="s">
        <v>18</v>
      </c>
      <c r="H433" s="2" t="s">
        <v>65</v>
      </c>
      <c r="L433" s="2" t="s">
        <v>20</v>
      </c>
    </row>
    <row r="434">
      <c r="A434" s="2" t="s">
        <v>955</v>
      </c>
      <c r="B434" s="2" t="s">
        <v>94</v>
      </c>
      <c r="C434" s="2" t="s">
        <v>956</v>
      </c>
      <c r="D434" s="2" t="str">
        <f>IFERROR(__xludf.DUMMYFUNCTION("""COMPUTED_VALUE"""),"Soy, Sweeteners")</f>
        <v>Soy, Sweeteners</v>
      </c>
      <c r="E434" s="2" t="s">
        <v>18</v>
      </c>
      <c r="H434" s="2" t="s">
        <v>65</v>
      </c>
      <c r="L434" s="2" t="s">
        <v>20</v>
      </c>
    </row>
    <row r="435">
      <c r="A435" s="2" t="s">
        <v>957</v>
      </c>
      <c r="B435" s="2" t="s">
        <v>94</v>
      </c>
      <c r="C435" s="2" t="s">
        <v>958</v>
      </c>
      <c r="D435" s="2" t="str">
        <f>IFERROR(__xludf.DUMMYFUNCTION("""COMPUTED_VALUE"""),"Lactose-Free")</f>
        <v>Lactose-Free</v>
      </c>
      <c r="F435" s="2" t="s">
        <v>100</v>
      </c>
    </row>
    <row r="436">
      <c r="A436" s="2" t="s">
        <v>959</v>
      </c>
      <c r="B436" s="2" t="s">
        <v>94</v>
      </c>
      <c r="C436" s="2" t="s">
        <v>960</v>
      </c>
      <c r="D436" s="2" t="str">
        <f>IFERROR(__xludf.DUMMYFUNCTION("""COMPUTED_VALUE"""),"Tree Nuts, Peanuts")</f>
        <v>Tree Nuts, Peanuts</v>
      </c>
      <c r="H436" s="2" t="s">
        <v>961</v>
      </c>
    </row>
    <row r="437">
      <c r="A437" s="2" t="s">
        <v>962</v>
      </c>
      <c r="B437" s="2" t="s">
        <v>94</v>
      </c>
      <c r="C437" s="2" t="s">
        <v>963</v>
      </c>
      <c r="D437" s="2" t="str">
        <f>IFERROR(__xludf.DUMMYFUNCTION("""COMPUTED_VALUE"""),"Tree Nuts, Soy, Sweeteners, Caffeine")</f>
        <v>Tree Nuts, Soy, Sweeteners, Caffeine</v>
      </c>
      <c r="H437" s="2" t="s">
        <v>101</v>
      </c>
      <c r="L437" s="2" t="s">
        <v>436</v>
      </c>
    </row>
    <row r="438">
      <c r="A438" s="2" t="s">
        <v>964</v>
      </c>
      <c r="B438" s="2" t="s">
        <v>94</v>
      </c>
      <c r="C438" s="2" t="s">
        <v>965</v>
      </c>
      <c r="D438" s="2" t="str">
        <f>IFERROR(__xludf.DUMMYFUNCTION("""COMPUTED_VALUE"""),"Wheat, Tree Nuts, Soy, Sweeteners, Caffeine")</f>
        <v>Wheat, Tree Nuts, Soy, Sweeteners, Caffeine</v>
      </c>
      <c r="G438" s="2" t="s">
        <v>19</v>
      </c>
      <c r="H438" s="2" t="s">
        <v>101</v>
      </c>
      <c r="L438" s="2" t="s">
        <v>436</v>
      </c>
    </row>
    <row r="439">
      <c r="A439" s="2" t="s">
        <v>966</v>
      </c>
      <c r="B439" s="2" t="s">
        <v>94</v>
      </c>
      <c r="C439" s="2" t="s">
        <v>967</v>
      </c>
      <c r="D439" s="2" t="str">
        <f>IFERROR(__xludf.DUMMYFUNCTION("""COMPUTED_VALUE"""),"Dried Herbs &amp; Spices")</f>
        <v>Dried Herbs &amp; Spices</v>
      </c>
      <c r="K439" s="2" t="s">
        <v>27</v>
      </c>
    </row>
    <row r="440">
      <c r="A440" s="2" t="s">
        <v>968</v>
      </c>
      <c r="B440" s="2" t="s">
        <v>94</v>
      </c>
      <c r="C440" s="2" t="s">
        <v>969</v>
      </c>
      <c r="D440" s="2" t="str">
        <f>IFERROR(__xludf.DUMMYFUNCTION("""COMPUTED_VALUE"""),"Dried Herbs &amp; Spices")</f>
        <v>Dried Herbs &amp; Spices</v>
      </c>
      <c r="K440" s="2" t="s">
        <v>27</v>
      </c>
    </row>
    <row r="441">
      <c r="A441" s="2" t="s">
        <v>970</v>
      </c>
      <c r="B441" s="2" t="s">
        <v>94</v>
      </c>
      <c r="C441" s="2" t="s">
        <v>971</v>
      </c>
      <c r="D441" s="2" t="str">
        <f>IFERROR(__xludf.DUMMYFUNCTION("""COMPUTED_VALUE"""),"Dried Herbs &amp; Spices")</f>
        <v>Dried Herbs &amp; Spices</v>
      </c>
      <c r="K441" s="2" t="s">
        <v>27</v>
      </c>
    </row>
    <row r="442">
      <c r="A442" s="2" t="s">
        <v>972</v>
      </c>
      <c r="B442" s="2" t="s">
        <v>94</v>
      </c>
      <c r="C442" s="2" t="s">
        <v>973</v>
      </c>
      <c r="D442" s="2" t="str">
        <f>IFERROR(__xludf.DUMMYFUNCTION("""COMPUTED_VALUE"""),"Leafy Greens, Mushrooms, Dried Herbs &amp; Spices, Sweeteners")</f>
        <v>Leafy Greens, Mushrooms, Dried Herbs &amp; Spices, Sweeteners</v>
      </c>
      <c r="I442" s="2" t="s">
        <v>974</v>
      </c>
      <c r="K442" s="2" t="s">
        <v>27</v>
      </c>
      <c r="L442" s="2" t="s">
        <v>20</v>
      </c>
    </row>
    <row r="443">
      <c r="A443" s="2" t="s">
        <v>975</v>
      </c>
      <c r="B443" s="2" t="s">
        <v>94</v>
      </c>
      <c r="C443" s="2" t="s">
        <v>976</v>
      </c>
      <c r="D443" s="2" t="str">
        <f>IFERROR(__xludf.DUMMYFUNCTION("""COMPUTED_VALUE"""),"Lactose-Free, Sweeteners")</f>
        <v>Lactose-Free, Sweeteners</v>
      </c>
      <c r="E443" s="2" t="s">
        <v>18</v>
      </c>
      <c r="F443" s="2" t="s">
        <v>100</v>
      </c>
      <c r="L443" s="2" t="s">
        <v>20</v>
      </c>
    </row>
    <row r="444">
      <c r="A444" s="2" t="s">
        <v>977</v>
      </c>
      <c r="B444" s="2" t="s">
        <v>94</v>
      </c>
      <c r="C444" s="2" t="s">
        <v>978</v>
      </c>
      <c r="D444" s="2" t="str">
        <f>IFERROR(__xludf.DUMMYFUNCTION("""COMPUTED_VALUE"""),"Dried Herbs &amp; Spices")</f>
        <v>Dried Herbs &amp; Spices</v>
      </c>
      <c r="K444" s="2" t="s">
        <v>27</v>
      </c>
    </row>
    <row r="445">
      <c r="A445" s="2" t="s">
        <v>979</v>
      </c>
      <c r="B445" s="2" t="s">
        <v>94</v>
      </c>
      <c r="C445" s="2" t="s">
        <v>980</v>
      </c>
      <c r="D445" s="2" t="str">
        <f>IFERROR(__xludf.DUMMYFUNCTION("""COMPUTED_VALUE"""),"Dried Herbs &amp; Spices")</f>
        <v>Dried Herbs &amp; Spices</v>
      </c>
      <c r="K445" s="2" t="s">
        <v>27</v>
      </c>
    </row>
    <row r="446">
      <c r="A446" s="2" t="s">
        <v>981</v>
      </c>
      <c r="B446" s="2" t="s">
        <v>94</v>
      </c>
      <c r="C446" s="2" t="s">
        <v>982</v>
      </c>
      <c r="D446" s="2" t="str">
        <f>IFERROR(__xludf.DUMMYFUNCTION("""COMPUTED_VALUE"""),"Lactose-Free")</f>
        <v>Lactose-Free</v>
      </c>
      <c r="F446" s="2" t="s">
        <v>100</v>
      </c>
    </row>
    <row r="447">
      <c r="A447" s="2" t="s">
        <v>983</v>
      </c>
      <c r="B447" s="2" t="s">
        <v>94</v>
      </c>
      <c r="C447" s="2" t="s">
        <v>984</v>
      </c>
      <c r="D447" s="2" t="str">
        <f>IFERROR(__xludf.DUMMYFUNCTION("""COMPUTED_VALUE"""),"Potatoes, Wheat, Nightshades, Spicy, Dried Herbs &amp; Spices")</f>
        <v>Potatoes, Wheat, Nightshades, Spicy, Dried Herbs &amp; Spices</v>
      </c>
      <c r="E447" s="2" t="s">
        <v>18</v>
      </c>
      <c r="G447" s="2" t="s">
        <v>985</v>
      </c>
      <c r="I447" s="2" t="s">
        <v>54</v>
      </c>
      <c r="K447" s="2" t="s">
        <v>231</v>
      </c>
    </row>
    <row r="448">
      <c r="A448" s="2" t="s">
        <v>986</v>
      </c>
      <c r="B448" s="2" t="s">
        <v>94</v>
      </c>
      <c r="C448" s="2" t="s">
        <v>987</v>
      </c>
      <c r="D448" s="2" t="str">
        <f>IFERROR(__xludf.DUMMYFUNCTION("""COMPUTED_VALUE"""),"Potatoes, Nightshades, Alliums, Spicy, Dried Herbs &amp; Spices")</f>
        <v>Potatoes, Nightshades, Alliums, Spicy, Dried Herbs &amp; Spices</v>
      </c>
      <c r="E448" s="2" t="s">
        <v>988</v>
      </c>
      <c r="G448" s="2" t="s">
        <v>189</v>
      </c>
      <c r="I448" s="2" t="s">
        <v>57</v>
      </c>
      <c r="K448" s="2" t="s">
        <v>231</v>
      </c>
    </row>
    <row r="449">
      <c r="A449" s="2" t="s">
        <v>989</v>
      </c>
      <c r="B449" s="2" t="s">
        <v>94</v>
      </c>
      <c r="C449" s="2" t="s">
        <v>990</v>
      </c>
      <c r="D449" s="2" t="str">
        <f>IFERROR(__xludf.DUMMYFUNCTION("""COMPUTED_VALUE"""),"Wheat, Potatoes, Soy, Beans")</f>
        <v>Wheat, Potatoes, Soy, Beans</v>
      </c>
      <c r="G449" s="2" t="s">
        <v>991</v>
      </c>
      <c r="H449" s="2" t="s">
        <v>335</v>
      </c>
    </row>
    <row r="450">
      <c r="A450" s="2" t="s">
        <v>992</v>
      </c>
      <c r="B450" s="2" t="s">
        <v>94</v>
      </c>
      <c r="C450" s="2" t="s">
        <v>993</v>
      </c>
      <c r="D450" s="2" t="str">
        <f>IFERROR(__xludf.DUMMYFUNCTION("""COMPUTED_VALUE"""),"Alliums, Nightshades, Dried Herbs &amp; Spices, Sweeteners")</f>
        <v>Alliums, Nightshades, Dried Herbs &amp; Spices, Sweeteners</v>
      </c>
      <c r="I450" s="2" t="s">
        <v>158</v>
      </c>
      <c r="K450" s="2" t="s">
        <v>27</v>
      </c>
      <c r="L450" s="2" t="s">
        <v>20</v>
      </c>
    </row>
    <row r="451">
      <c r="A451" s="2" t="s">
        <v>994</v>
      </c>
      <c r="B451" s="2" t="s">
        <v>94</v>
      </c>
      <c r="C451" s="2" t="s">
        <v>995</v>
      </c>
      <c r="D451" s="2" t="str">
        <f>IFERROR(__xludf.DUMMYFUNCTION("""COMPUTED_VALUE"""),"Wheat, Sweeteners")</f>
        <v>Wheat, Sweeteners</v>
      </c>
      <c r="G451" s="2" t="s">
        <v>19</v>
      </c>
      <c r="L451" s="2" t="s">
        <v>20</v>
      </c>
    </row>
    <row r="452">
      <c r="A452" s="2" t="s">
        <v>996</v>
      </c>
      <c r="B452" s="2" t="s">
        <v>94</v>
      </c>
      <c r="C452" s="2" t="s">
        <v>997</v>
      </c>
      <c r="D452" s="2" t="str">
        <f>IFERROR(__xludf.DUMMYFUNCTION("""COMPUTED_VALUE"""),"Lactose-Free, Peanuts, Tree Nuts, Soy, Sweeteners, Caffeine")</f>
        <v>Lactose-Free, Peanuts, Tree Nuts, Soy, Sweeteners, Caffeine</v>
      </c>
      <c r="F452" s="2" t="s">
        <v>100</v>
      </c>
      <c r="H452" s="2" t="s">
        <v>998</v>
      </c>
      <c r="L452" s="2" t="s">
        <v>436</v>
      </c>
    </row>
    <row r="453">
      <c r="A453" s="2" t="s">
        <v>999</v>
      </c>
      <c r="B453" s="2" t="s">
        <v>94</v>
      </c>
      <c r="C453" s="2" t="s">
        <v>1000</v>
      </c>
      <c r="D453" s="2" t="str">
        <f>IFERROR(__xludf.DUMMYFUNCTION("""COMPUTED_VALUE"""),"Sweeteners")</f>
        <v>Sweeteners</v>
      </c>
      <c r="E453" s="2" t="s">
        <v>464</v>
      </c>
      <c r="L453" s="2" t="s">
        <v>20</v>
      </c>
    </row>
    <row r="454">
      <c r="A454" s="2" t="s">
        <v>1001</v>
      </c>
      <c r="B454" s="2" t="s">
        <v>94</v>
      </c>
      <c r="C454" s="2" t="s">
        <v>1002</v>
      </c>
      <c r="D454" s="2" t="str">
        <f>IFERROR(__xludf.DUMMYFUNCTION("""COMPUTED_VALUE"""),"Gluten-Free Grains")</f>
        <v>Gluten-Free Grains</v>
      </c>
      <c r="G454" s="2" t="s">
        <v>60</v>
      </c>
    </row>
    <row r="455">
      <c r="A455" s="2" t="s">
        <v>1003</v>
      </c>
      <c r="B455" s="2" t="s">
        <v>94</v>
      </c>
      <c r="C455" s="2" t="s">
        <v>1004</v>
      </c>
      <c r="D455" s="2" t="str">
        <f>IFERROR(__xludf.DUMMYFUNCTION("""COMPUTED_VALUE"""),"Wheat, Sweeteners")</f>
        <v>Wheat, Sweeteners</v>
      </c>
      <c r="G455" s="2" t="s">
        <v>19</v>
      </c>
      <c r="L455" s="2" t="s">
        <v>20</v>
      </c>
    </row>
    <row r="456">
      <c r="A456" s="2" t="s">
        <v>1005</v>
      </c>
      <c r="B456" s="2" t="s">
        <v>94</v>
      </c>
      <c r="C456" s="2" t="s">
        <v>1006</v>
      </c>
      <c r="D456" s="2" t="str">
        <f>IFERROR(__xludf.DUMMYFUNCTION("""COMPUTED_VALUE"""),"Wheat, Sweeteners")</f>
        <v>Wheat, Sweeteners</v>
      </c>
      <c r="G456" s="2" t="s">
        <v>19</v>
      </c>
      <c r="L456" s="2" t="s">
        <v>20</v>
      </c>
    </row>
    <row r="457">
      <c r="A457" s="2" t="s">
        <v>1007</v>
      </c>
      <c r="B457" s="2" t="s">
        <v>94</v>
      </c>
      <c r="C457" s="2" t="s">
        <v>1008</v>
      </c>
      <c r="D457" s="2" t="str">
        <f>IFERROR(__xludf.DUMMYFUNCTION("""COMPUTED_VALUE"""),"Gluten-Free Grains")</f>
        <v>Gluten-Free Grains</v>
      </c>
      <c r="G457" s="2" t="s">
        <v>60</v>
      </c>
    </row>
    <row r="458">
      <c r="A458" s="2" t="s">
        <v>1009</v>
      </c>
      <c r="B458" s="2" t="s">
        <v>94</v>
      </c>
      <c r="C458" s="2" t="s">
        <v>1010</v>
      </c>
      <c r="D458" s="2" t="str">
        <f>IFERROR(__xludf.DUMMYFUNCTION("""COMPUTED_VALUE"""),"Gluten-Free Grains")</f>
        <v>Gluten-Free Grains</v>
      </c>
      <c r="G458" s="2" t="s">
        <v>60</v>
      </c>
    </row>
    <row r="459">
      <c r="A459" s="2" t="s">
        <v>1011</v>
      </c>
      <c r="B459" s="2" t="s">
        <v>94</v>
      </c>
      <c r="C459" s="2" t="s">
        <v>1012</v>
      </c>
      <c r="D459" s="2" t="str">
        <f>IFERROR(__xludf.DUMMYFUNCTION("""COMPUTED_VALUE"""),"Lactose-Free, Gluten-Free Grains")</f>
        <v>Lactose-Free, Gluten-Free Grains</v>
      </c>
      <c r="F459" s="2" t="s">
        <v>100</v>
      </c>
      <c r="G459" s="2" t="s">
        <v>60</v>
      </c>
    </row>
    <row r="460">
      <c r="A460" s="2" t="s">
        <v>1013</v>
      </c>
      <c r="B460" s="2" t="s">
        <v>94</v>
      </c>
      <c r="C460" s="2" t="s">
        <v>1014</v>
      </c>
      <c r="D460" s="2" t="str">
        <f>IFERROR(__xludf.DUMMYFUNCTION("""COMPUTED_VALUE"""),"Lactose-Free, Gluten-Free Grains")</f>
        <v>Lactose-Free, Gluten-Free Grains</v>
      </c>
      <c r="F460" s="2" t="s">
        <v>100</v>
      </c>
      <c r="G460" s="2" t="s">
        <v>60</v>
      </c>
    </row>
    <row r="461">
      <c r="A461" s="2" t="s">
        <v>1015</v>
      </c>
      <c r="B461" s="2" t="s">
        <v>94</v>
      </c>
      <c r="C461" s="2" t="s">
        <v>1016</v>
      </c>
      <c r="D461" s="2" t="str">
        <f>IFERROR(__xludf.DUMMYFUNCTION("""COMPUTED_VALUE"""),"Gluten-Free Grains")</f>
        <v>Gluten-Free Grains</v>
      </c>
      <c r="G461" s="2" t="s">
        <v>60</v>
      </c>
    </row>
    <row r="462">
      <c r="A462" s="2" t="s">
        <v>1017</v>
      </c>
      <c r="B462" s="2" t="s">
        <v>94</v>
      </c>
      <c r="C462" s="2" t="s">
        <v>1018</v>
      </c>
      <c r="D462" s="2" t="str">
        <f>IFERROR(__xludf.DUMMYFUNCTION("""COMPUTED_VALUE"""),"Gluten-Free Grains")</f>
        <v>Gluten-Free Grains</v>
      </c>
      <c r="G462" s="2" t="s">
        <v>60</v>
      </c>
    </row>
    <row r="463">
      <c r="A463" s="2" t="s">
        <v>1019</v>
      </c>
      <c r="B463" s="2" t="s">
        <v>94</v>
      </c>
      <c r="C463" s="2" t="s">
        <v>1020</v>
      </c>
      <c r="D463" s="2" t="str">
        <f>IFERROR(__xludf.DUMMYFUNCTION("""COMPUTED_VALUE"""),"Wheat")</f>
        <v>Wheat</v>
      </c>
      <c r="G463" s="2" t="s">
        <v>19</v>
      </c>
    </row>
    <row r="464">
      <c r="A464" s="2" t="s">
        <v>1021</v>
      </c>
      <c r="B464" s="2" t="s">
        <v>94</v>
      </c>
      <c r="C464" s="2" t="s">
        <v>1022</v>
      </c>
      <c r="D464" s="2" t="str">
        <f>IFERROR(__xludf.DUMMYFUNCTION("""COMPUTED_VALUE"""),"Gluten-Free Grains")</f>
        <v>Gluten-Free Grains</v>
      </c>
      <c r="G464" s="2" t="s">
        <v>60</v>
      </c>
    </row>
    <row r="465">
      <c r="A465" s="2" t="s">
        <v>1023</v>
      </c>
      <c r="B465" s="2" t="s">
        <v>94</v>
      </c>
      <c r="C465" s="2" t="s">
        <v>1024</v>
      </c>
      <c r="D465" s="2" t="str">
        <f>IFERROR(__xludf.DUMMYFUNCTION("""COMPUTED_VALUE"""),"Gluten-Free Grains")</f>
        <v>Gluten-Free Grains</v>
      </c>
      <c r="G465" s="2" t="s">
        <v>60</v>
      </c>
    </row>
    <row r="466">
      <c r="A466" s="2" t="s">
        <v>1025</v>
      </c>
      <c r="B466" s="2" t="s">
        <v>94</v>
      </c>
      <c r="C466" s="2" t="s">
        <v>1026</v>
      </c>
      <c r="D466" s="2" t="str">
        <f>IFERROR(__xludf.DUMMYFUNCTION("""COMPUTED_VALUE"""),"Wheat, Corn, Gluten-Free Grains, Sweeteners")</f>
        <v>Wheat, Corn, Gluten-Free Grains, Sweeteners</v>
      </c>
      <c r="G466" s="2" t="s">
        <v>1027</v>
      </c>
      <c r="L466" s="2" t="s">
        <v>20</v>
      </c>
    </row>
    <row r="467">
      <c r="A467" s="2" t="s">
        <v>1028</v>
      </c>
      <c r="B467" s="2" t="s">
        <v>94</v>
      </c>
      <c r="C467" s="2" t="s">
        <v>1029</v>
      </c>
      <c r="D467" s="2" t="str">
        <f>IFERROR(__xludf.DUMMYFUNCTION("""COMPUTED_VALUE"""),"Wheat, Corn, Gluten-Free Grains, Tree Nuts, Sweeteners")</f>
        <v>Wheat, Corn, Gluten-Free Grains, Tree Nuts, Sweeteners</v>
      </c>
      <c r="G467" s="2" t="s">
        <v>1027</v>
      </c>
      <c r="H467" s="2" t="s">
        <v>44</v>
      </c>
      <c r="L467" s="2" t="s">
        <v>20</v>
      </c>
    </row>
    <row r="468">
      <c r="A468" s="2" t="s">
        <v>1030</v>
      </c>
      <c r="B468" s="2" t="s">
        <v>94</v>
      </c>
      <c r="C468" s="2" t="s">
        <v>1031</v>
      </c>
      <c r="D468" s="2" t="str">
        <f>IFERROR(__xludf.DUMMYFUNCTION("""COMPUTED_VALUE"""),"Dried Herbs &amp; Spices")</f>
        <v>Dried Herbs &amp; Spices</v>
      </c>
      <c r="K468" s="2" t="s">
        <v>27</v>
      </c>
    </row>
    <row r="469">
      <c r="A469" s="2" t="s">
        <v>1032</v>
      </c>
      <c r="B469" s="2" t="s">
        <v>94</v>
      </c>
      <c r="C469" s="2" t="s">
        <v>1033</v>
      </c>
      <c r="D469" s="2" t="str">
        <f>IFERROR(__xludf.DUMMYFUNCTION("""COMPUTED_VALUE"""),"Alliums, Fresh Herbs")</f>
        <v>Alliums, Fresh Herbs</v>
      </c>
      <c r="E469" s="2" t="s">
        <v>18</v>
      </c>
      <c r="I469" s="2" t="s">
        <v>70</v>
      </c>
      <c r="K469" s="2" t="s">
        <v>332</v>
      </c>
    </row>
    <row r="470">
      <c r="A470" s="2" t="s">
        <v>1034</v>
      </c>
      <c r="B470" s="2" t="s">
        <v>94</v>
      </c>
      <c r="C470" s="2" t="s">
        <v>1035</v>
      </c>
      <c r="D470" s="2" t="str">
        <f>IFERROR(__xludf.DUMMYFUNCTION("""COMPUTED_VALUE"""),"Sweeteners, Alcohol")</f>
        <v>Sweeteners, Alcohol</v>
      </c>
      <c r="L470" s="2" t="s">
        <v>115</v>
      </c>
    </row>
    <row r="471">
      <c r="A471" s="2" t="s">
        <v>1036</v>
      </c>
      <c r="B471" s="2" t="s">
        <v>94</v>
      </c>
      <c r="C471" s="2" t="s">
        <v>1037</v>
      </c>
      <c r="D471" s="2" t="str">
        <f>IFERROR(__xludf.DUMMYFUNCTION("""COMPUTED_VALUE"""),"#N/A")</f>
        <v>#N/A</v>
      </c>
      <c r="E471" s="2" t="s">
        <v>30</v>
      </c>
    </row>
    <row r="472">
      <c r="A472" s="2" t="s">
        <v>1038</v>
      </c>
      <c r="B472" s="2" t="s">
        <v>94</v>
      </c>
      <c r="C472" s="2" t="s">
        <v>1039</v>
      </c>
      <c r="D472" s="2" t="str">
        <f>IFERROR(__xludf.DUMMYFUNCTION("""COMPUTED_VALUE"""),"#N/A")</f>
        <v>#N/A</v>
      </c>
      <c r="E472" s="2" t="s">
        <v>30</v>
      </c>
    </row>
    <row r="473">
      <c r="A473" s="2" t="s">
        <v>1040</v>
      </c>
      <c r="B473" s="2" t="s">
        <v>94</v>
      </c>
      <c r="C473" s="2" t="s">
        <v>1041</v>
      </c>
      <c r="D473" s="2" t="str">
        <f>IFERROR(__xludf.DUMMYFUNCTION("""COMPUTED_VALUE"""),"#N/A")</f>
        <v>#N/A</v>
      </c>
      <c r="E473" s="2" t="s">
        <v>705</v>
      </c>
    </row>
    <row r="474">
      <c r="A474" s="2" t="s">
        <v>1042</v>
      </c>
      <c r="B474" s="2" t="s">
        <v>94</v>
      </c>
      <c r="C474" s="2" t="s">
        <v>1043</v>
      </c>
      <c r="D474" s="2" t="str">
        <f>IFERROR(__xludf.DUMMYFUNCTION("""COMPUTED_VALUE"""),"#N/A")</f>
        <v>#N/A</v>
      </c>
      <c r="E474" s="2" t="s">
        <v>705</v>
      </c>
    </row>
    <row r="475">
      <c r="A475" s="2" t="s">
        <v>1044</v>
      </c>
      <c r="B475" s="2" t="s">
        <v>94</v>
      </c>
      <c r="C475" s="2" t="s">
        <v>1045</v>
      </c>
      <c r="D475" s="2" t="str">
        <f>IFERROR(__xludf.DUMMYFUNCTION("""COMPUTED_VALUE"""),"#N/A")</f>
        <v>#N/A</v>
      </c>
      <c r="E475" s="2" t="s">
        <v>464</v>
      </c>
    </row>
    <row r="476">
      <c r="A476" s="2" t="s">
        <v>1046</v>
      </c>
      <c r="B476" s="2" t="s">
        <v>94</v>
      </c>
      <c r="C476" s="2" t="s">
        <v>1047</v>
      </c>
      <c r="D476" s="2" t="str">
        <f>IFERROR(__xludf.DUMMYFUNCTION("""COMPUTED_VALUE"""),"Berries")</f>
        <v>Berries</v>
      </c>
      <c r="J476" s="2" t="s">
        <v>316</v>
      </c>
    </row>
    <row r="477">
      <c r="A477" s="2" t="s">
        <v>1048</v>
      </c>
      <c r="B477" s="2" t="s">
        <v>94</v>
      </c>
      <c r="C477" s="2" t="s">
        <v>1049</v>
      </c>
      <c r="D477" s="2" t="str">
        <f>IFERROR(__xludf.DUMMYFUNCTION("""COMPUTED_VALUE"""),"Citrus, Sweeteners")</f>
        <v>Citrus, Sweeteners</v>
      </c>
      <c r="E477" s="2" t="s">
        <v>18</v>
      </c>
      <c r="J477" s="2" t="s">
        <v>128</v>
      </c>
      <c r="L477" s="2" t="s">
        <v>20</v>
      </c>
    </row>
    <row r="478">
      <c r="A478" s="2" t="s">
        <v>1050</v>
      </c>
      <c r="B478" s="2" t="s">
        <v>94</v>
      </c>
      <c r="C478" s="2" t="s">
        <v>1051</v>
      </c>
      <c r="D478" s="2" t="str">
        <f>IFERROR(__xludf.DUMMYFUNCTION("""COMPUTED_VALUE"""),"Leafy Greens, Sweeteners")</f>
        <v>Leafy Greens, Sweeteners</v>
      </c>
      <c r="E478" s="2" t="s">
        <v>18</v>
      </c>
      <c r="I478" s="2" t="s">
        <v>399</v>
      </c>
      <c r="L478" s="2" t="s">
        <v>20</v>
      </c>
    </row>
    <row r="479">
      <c r="A479" s="2" t="s">
        <v>1052</v>
      </c>
      <c r="B479" s="2" t="s">
        <v>94</v>
      </c>
      <c r="C479" s="2" t="s">
        <v>1053</v>
      </c>
      <c r="D479" s="2" t="str">
        <f>IFERROR(__xludf.DUMMYFUNCTION("""COMPUTED_VALUE"""),"Others")</f>
        <v>Others</v>
      </c>
      <c r="M479" s="2" t="s">
        <v>11</v>
      </c>
    </row>
    <row r="480">
      <c r="A480" s="2" t="s">
        <v>1054</v>
      </c>
      <c r="B480" s="2" t="s">
        <v>94</v>
      </c>
      <c r="C480" s="2" t="s">
        <v>1055</v>
      </c>
      <c r="D480" s="2" t="str">
        <f>IFERROR(__xludf.DUMMYFUNCTION("""COMPUTED_VALUE"""),"Dried Herbs &amp; Spices")</f>
        <v>Dried Herbs &amp; Spices</v>
      </c>
      <c r="K480" s="2" t="s">
        <v>27</v>
      </c>
    </row>
    <row r="481">
      <c r="A481" s="2" t="s">
        <v>1056</v>
      </c>
      <c r="B481" s="2" t="s">
        <v>94</v>
      </c>
      <c r="C481" s="2" t="s">
        <v>1057</v>
      </c>
      <c r="D481" s="2" t="str">
        <f>IFERROR(__xludf.DUMMYFUNCTION("""COMPUTED_VALUE"""),"Dried Herbs &amp; Spices, Others")</f>
        <v>Dried Herbs &amp; Spices, Others</v>
      </c>
      <c r="K481" s="2" t="s">
        <v>27</v>
      </c>
      <c r="M481" s="2" t="s">
        <v>11</v>
      </c>
    </row>
    <row r="482">
      <c r="A482" s="2" t="s">
        <v>1058</v>
      </c>
      <c r="B482" s="2" t="s">
        <v>94</v>
      </c>
      <c r="C482" s="2" t="s">
        <v>1059</v>
      </c>
      <c r="D482" s="2" t="str">
        <f>IFERROR(__xludf.DUMMYFUNCTION("""COMPUTED_VALUE"""),"Nightshades")</f>
        <v>Nightshades</v>
      </c>
      <c r="I482" s="2" t="s">
        <v>54</v>
      </c>
    </row>
    <row r="483">
      <c r="A483" s="2" t="s">
        <v>1060</v>
      </c>
      <c r="B483" s="2" t="s">
        <v>94</v>
      </c>
      <c r="C483" s="2" t="s">
        <v>1061</v>
      </c>
      <c r="D483" s="2" t="str">
        <f>IFERROR(__xludf.DUMMYFUNCTION("""COMPUTED_VALUE"""),"Tree Nuts")</f>
        <v>Tree Nuts</v>
      </c>
      <c r="H483" s="2" t="s">
        <v>44</v>
      </c>
    </row>
    <row r="484">
      <c r="A484" s="2" t="s">
        <v>1062</v>
      </c>
      <c r="B484" s="2" t="s">
        <v>94</v>
      </c>
      <c r="C484" s="2" t="s">
        <v>1063</v>
      </c>
      <c r="D484" s="2" t="str">
        <f>IFERROR(__xludf.DUMMYFUNCTION("""COMPUTED_VALUE"""),"Tree Nuts")</f>
        <v>Tree Nuts</v>
      </c>
      <c r="H484" s="2" t="s">
        <v>44</v>
      </c>
    </row>
    <row r="485">
      <c r="A485" s="2" t="s">
        <v>1064</v>
      </c>
      <c r="B485" s="2" t="s">
        <v>94</v>
      </c>
      <c r="C485" s="2" t="s">
        <v>1065</v>
      </c>
      <c r="D485" s="2" t="str">
        <f>IFERROR(__xludf.DUMMYFUNCTION("""COMPUTED_VALUE"""),"Tree Nuts")</f>
        <v>Tree Nuts</v>
      </c>
      <c r="H485" s="2" t="s">
        <v>44</v>
      </c>
    </row>
    <row r="486">
      <c r="A486" s="2" t="s">
        <v>1066</v>
      </c>
      <c r="B486" s="2" t="s">
        <v>94</v>
      </c>
      <c r="C486" s="2" t="s">
        <v>1067</v>
      </c>
      <c r="D486" s="2" t="str">
        <f>IFERROR(__xludf.DUMMYFUNCTION("""COMPUTED_VALUE"""),"Tree Nuts, Peanuts")</f>
        <v>Tree Nuts, Peanuts</v>
      </c>
      <c r="H486" s="2" t="s">
        <v>961</v>
      </c>
    </row>
    <row r="487">
      <c r="A487" s="2" t="s">
        <v>1068</v>
      </c>
      <c r="B487" s="2" t="s">
        <v>94</v>
      </c>
      <c r="C487" s="2" t="s">
        <v>1069</v>
      </c>
      <c r="D487" s="2" t="str">
        <f>IFERROR(__xludf.DUMMYFUNCTION("""COMPUTED_VALUE"""),"Peanuts")</f>
        <v>Peanuts</v>
      </c>
      <c r="H487" s="2" t="s">
        <v>47</v>
      </c>
    </row>
    <row r="488">
      <c r="A488" s="2" t="s">
        <v>1070</v>
      </c>
      <c r="B488" s="2" t="s">
        <v>94</v>
      </c>
      <c r="C488" s="2" t="s">
        <v>1071</v>
      </c>
      <c r="D488" s="2" t="str">
        <f>IFERROR(__xludf.DUMMYFUNCTION("""COMPUTED_VALUE"""),"Tree Nuts")</f>
        <v>Tree Nuts</v>
      </c>
      <c r="H488" s="2" t="s">
        <v>44</v>
      </c>
    </row>
    <row r="489">
      <c r="A489" s="2" t="s">
        <v>1072</v>
      </c>
      <c r="B489" s="2" t="s">
        <v>94</v>
      </c>
      <c r="C489" s="2" t="s">
        <v>1073</v>
      </c>
      <c r="D489" s="2" t="str">
        <f>IFERROR(__xludf.DUMMYFUNCTION("""COMPUTED_VALUE"""),"Peanuts")</f>
        <v>Peanuts</v>
      </c>
      <c r="H489" s="2" t="s">
        <v>47</v>
      </c>
    </row>
    <row r="490">
      <c r="A490" s="2" t="s">
        <v>1074</v>
      </c>
      <c r="B490" s="2" t="s">
        <v>94</v>
      </c>
      <c r="C490" s="2" t="s">
        <v>1075</v>
      </c>
      <c r="D490" s="2" t="str">
        <f>IFERROR(__xludf.DUMMYFUNCTION("""COMPUTED_VALUE"""),"Others")</f>
        <v>Others</v>
      </c>
      <c r="M490" s="2" t="s">
        <v>11</v>
      </c>
    </row>
    <row r="491">
      <c r="A491" s="2" t="s">
        <v>1076</v>
      </c>
      <c r="B491" s="2" t="s">
        <v>94</v>
      </c>
      <c r="C491" s="2" t="s">
        <v>1077</v>
      </c>
      <c r="D491" s="2" t="str">
        <f>IFERROR(__xludf.DUMMYFUNCTION("""COMPUTED_VALUE"""),"Peanuts")</f>
        <v>Peanuts</v>
      </c>
      <c r="H491" s="2" t="s">
        <v>47</v>
      </c>
    </row>
    <row r="492">
      <c r="A492" s="2" t="s">
        <v>1078</v>
      </c>
      <c r="B492" s="2" t="s">
        <v>94</v>
      </c>
      <c r="C492" s="2" t="s">
        <v>1079</v>
      </c>
      <c r="D492" s="2" t="str">
        <f>IFERROR(__xludf.DUMMYFUNCTION("""COMPUTED_VALUE"""),"Peanuts")</f>
        <v>Peanuts</v>
      </c>
      <c r="H492" s="2" t="s">
        <v>47</v>
      </c>
    </row>
    <row r="493">
      <c r="A493" s="2" t="s">
        <v>1080</v>
      </c>
      <c r="B493" s="2" t="s">
        <v>94</v>
      </c>
      <c r="C493" s="2" t="s">
        <v>1081</v>
      </c>
      <c r="D493" s="2" t="str">
        <f>IFERROR(__xludf.DUMMYFUNCTION("""COMPUTED_VALUE"""),"#N/A")</f>
        <v>#N/A</v>
      </c>
      <c r="E493" s="2" t="s">
        <v>30</v>
      </c>
    </row>
    <row r="494">
      <c r="A494" s="2" t="s">
        <v>1082</v>
      </c>
      <c r="B494" s="2" t="s">
        <v>94</v>
      </c>
      <c r="C494" s="2" t="s">
        <v>1083</v>
      </c>
      <c r="D494" s="2" t="str">
        <f>IFERROR(__xludf.DUMMYFUNCTION("""COMPUTED_VALUE"""),"Soy")</f>
        <v>Soy</v>
      </c>
      <c r="H494" s="2" t="s">
        <v>65</v>
      </c>
    </row>
    <row r="495">
      <c r="A495" s="2" t="s">
        <v>1084</v>
      </c>
      <c r="B495" s="2" t="s">
        <v>94</v>
      </c>
      <c r="C495" s="2" t="s">
        <v>1085</v>
      </c>
      <c r="D495" s="2" t="str">
        <f>IFERROR(__xludf.DUMMYFUNCTION("""COMPUTED_VALUE"""),"Others")</f>
        <v>Others</v>
      </c>
      <c r="M495" s="2" t="s">
        <v>11</v>
      </c>
    </row>
    <row r="496">
      <c r="A496" s="2" t="s">
        <v>1086</v>
      </c>
      <c r="B496" s="2" t="s">
        <v>94</v>
      </c>
      <c r="C496" s="2" t="s">
        <v>1087</v>
      </c>
      <c r="D496" s="2" t="str">
        <f>IFERROR(__xludf.DUMMYFUNCTION("""COMPUTED_VALUE"""),"Others")</f>
        <v>Others</v>
      </c>
      <c r="M496" s="2" t="s">
        <v>11</v>
      </c>
    </row>
    <row r="497">
      <c r="A497" s="2" t="s">
        <v>1088</v>
      </c>
      <c r="B497" s="2" t="s">
        <v>94</v>
      </c>
      <c r="C497" s="2" t="s">
        <v>1089</v>
      </c>
      <c r="D497" s="2" t="str">
        <f>IFERROR(__xludf.DUMMYFUNCTION("""COMPUTED_VALUE"""),"Nightshades, Alliums, Dried Herbs &amp; Spices, Sweeteners")</f>
        <v>Nightshades, Alliums, Dried Herbs &amp; Spices, Sweeteners</v>
      </c>
      <c r="I497" s="2" t="s">
        <v>57</v>
      </c>
      <c r="K497" s="2" t="s">
        <v>27</v>
      </c>
      <c r="L497" s="2" t="s">
        <v>20</v>
      </c>
    </row>
    <row r="498">
      <c r="A498" s="2" t="s">
        <v>1090</v>
      </c>
      <c r="B498" s="2" t="s">
        <v>94</v>
      </c>
      <c r="C498" s="2" t="s">
        <v>1091</v>
      </c>
      <c r="D498" s="2" t="str">
        <f>IFERROR(__xludf.DUMMYFUNCTION("""COMPUTED_VALUE"""),"Wheat, Alliums, Nightshades, Dried Herbs &amp; Spices, Others")</f>
        <v>Wheat, Alliums, Nightshades, Dried Herbs &amp; Spices, Others</v>
      </c>
      <c r="G498" s="2" t="s">
        <v>19</v>
      </c>
      <c r="I498" s="2" t="s">
        <v>158</v>
      </c>
      <c r="K498" s="2" t="s">
        <v>27</v>
      </c>
      <c r="M498" s="2" t="s">
        <v>11</v>
      </c>
    </row>
    <row r="499">
      <c r="A499" s="2" t="s">
        <v>1092</v>
      </c>
      <c r="B499" s="2" t="s">
        <v>94</v>
      </c>
      <c r="C499" s="2" t="s">
        <v>1093</v>
      </c>
      <c r="D499" s="2" t="str">
        <f>IFERROR(__xludf.DUMMYFUNCTION("""COMPUTED_VALUE"""),"Dried Herbs &amp; Spices, Spicy")</f>
        <v>Dried Herbs &amp; Spices, Spicy</v>
      </c>
      <c r="K499" s="2" t="s">
        <v>71</v>
      </c>
    </row>
    <row r="500">
      <c r="A500" s="2" t="s">
        <v>1094</v>
      </c>
      <c r="B500" s="2" t="s">
        <v>94</v>
      </c>
      <c r="C500" s="2" t="s">
        <v>1095</v>
      </c>
      <c r="D500" s="2" t="str">
        <f>IFERROR(__xludf.DUMMYFUNCTION("""COMPUTED_VALUE"""),"Wheat, Gluten-Free Grains")</f>
        <v>Wheat, Gluten-Free Grains</v>
      </c>
      <c r="G500" s="2" t="s">
        <v>77</v>
      </c>
    </row>
    <row r="501">
      <c r="A501" s="2" t="s">
        <v>1096</v>
      </c>
      <c r="B501" s="2" t="s">
        <v>94</v>
      </c>
      <c r="C501" s="2" t="s">
        <v>1097</v>
      </c>
      <c r="D501" s="2" t="str">
        <f>IFERROR(__xludf.DUMMYFUNCTION("""COMPUTED_VALUE"""),"Beans")</f>
        <v>Beans</v>
      </c>
      <c r="H501" s="2" t="s">
        <v>296</v>
      </c>
    </row>
  </sheetData>
  <drawing r:id="rId1"/>
</worksheet>
</file>