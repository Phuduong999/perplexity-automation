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 Exclusion - 1" sheetId="1" r:id="rId4"/>
  </sheets>
  <definedNames/>
  <calcPr/>
</workbook>
</file>

<file path=xl/sharedStrings.xml><?xml version="1.0" encoding="utf-8"?>
<sst xmlns="http://schemas.openxmlformats.org/spreadsheetml/2006/main" count="2533" uniqueCount="1092">
  <si>
    <t>_id</t>
  </si>
  <si>
    <t>Status from BA</t>
  </si>
  <si>
    <t>Status</t>
  </si>
  <si>
    <t>name</t>
  </si>
  <si>
    <t>Protein Sources</t>
  </si>
  <si>
    <t>Diary Alternatives</t>
  </si>
  <si>
    <t>Grains &amp; Starches</t>
  </si>
  <si>
    <t>Legumes &amp; Nuts</t>
  </si>
  <si>
    <t>Vegetables</t>
  </si>
  <si>
    <t>Fruits</t>
  </si>
  <si>
    <t>Herbs &amp; Spices</t>
  </si>
  <si>
    <t>Miscellaneous</t>
  </si>
  <si>
    <t>Others</t>
  </si>
  <si>
    <t>67a4343748ad24c4a120a663</t>
  </si>
  <si>
    <t>Review</t>
  </si>
  <si>
    <t>1 Up Nutrition Snickerdoodle Flavor Protein Powder</t>
  </si>
  <si>
    <t>Dairy, Eggs</t>
  </si>
  <si>
    <t>Dried Herbs &amp; Spices</t>
  </si>
  <si>
    <t>6597ed69ff026c56da975fb4</t>
  </si>
  <si>
    <t>OK</t>
  </si>
  <si>
    <t>1% Chocolate Milk</t>
  </si>
  <si>
    <t>Dairy</t>
  </si>
  <si>
    <t>Caffeine</t>
  </si>
  <si>
    <t>6597ed75ff026c56da976168</t>
  </si>
  <si>
    <t>1% Milk</t>
  </si>
  <si>
    <t>67320ad689b3bf49ae88d693</t>
  </si>
  <si>
    <t>1.5% Milk</t>
  </si>
  <si>
    <t>684807b9a8c459878382c617</t>
  </si>
  <si>
    <t>10% Fat Feta Cheese</t>
  </si>
  <si>
    <t>664f1762e0727ec17bb68f92</t>
  </si>
  <si>
    <t>100% Whole Wheat Bread</t>
  </si>
  <si>
    <t>Wheat</t>
  </si>
  <si>
    <t>67c1820973f218d0633dc57e</t>
  </si>
  <si>
    <t>1st Phorm Collagen With Dermaval</t>
  </si>
  <si>
    <t>Dairy, Fish, Chicken, Eggs</t>
  </si>
  <si>
    <t>682c4ea3f2fdbf2cd0ac6131</t>
  </si>
  <si>
    <t>1st Phorm Level-1 Bar - Peanut Butter Chocolate</t>
  </si>
  <si>
    <t>Peanuts, Soy</t>
  </si>
  <si>
    <t>675fe1e2589348ac18b05d5c</t>
  </si>
  <si>
    <t>1st Phorm Level-1 Blueberry Muffin Protein Powder</t>
  </si>
  <si>
    <t>Soy</t>
  </si>
  <si>
    <t>Berries</t>
  </si>
  <si>
    <t>675fe1e2589348ac18b05d5d</t>
  </si>
  <si>
    <t>1st Phorm Level-1 Caramel Latte Protein Powder</t>
  </si>
  <si>
    <t>Sweeteners</t>
  </si>
  <si>
    <t>675fe1e2589348ac18b05d5e</t>
  </si>
  <si>
    <t>1st Phorm Level-1 Chocolate Banana Protein Powder</t>
  </si>
  <si>
    <t>Tropical Fruits</t>
  </si>
  <si>
    <t>Caffeine, Sweeteners</t>
  </si>
  <si>
    <t>675fe1e2589348ac18b05d5f</t>
  </si>
  <si>
    <t>1st Phorm Level-1 Cinnamon Cookie Batter Protein Powder</t>
  </si>
  <si>
    <t>Spicy</t>
  </si>
  <si>
    <t>6771451c9ac20d85d8c75a0d</t>
  </si>
  <si>
    <t>1st Phorm Level-1 German Chocolate Cake Protein Powder</t>
  </si>
  <si>
    <t>Sweeteners, Caffeine</t>
  </si>
  <si>
    <t>675fe1e2589348ac18b05d67</t>
  </si>
  <si>
    <t>1st Phorm Level-1 Ice Cream Sandwich Protein Powder</t>
  </si>
  <si>
    <t>675fe1e2589348ac18b05d60</t>
  </si>
  <si>
    <t>1st Phorm Level-1 Milk Chocolate Protein Powder</t>
  </si>
  <si>
    <t>675fe1e2589348ac18b05d61</t>
  </si>
  <si>
    <t>1st Phorm Level-1 Pumpkin Spice Latte Protein Powder</t>
  </si>
  <si>
    <t>675fe1e2589348ac18b05d62</t>
  </si>
  <si>
    <t>1st Phorm Level-1 Strawberry Milkshake Protein Powder</t>
  </si>
  <si>
    <t>675fe1e2589348ac18b05d63</t>
  </si>
  <si>
    <t>1st Phorm Level-1 Vanilla Ice Cream Protein Powder</t>
  </si>
  <si>
    <t>675fe1e2589348ac18b05d64</t>
  </si>
  <si>
    <t>1st Phorm Opti-Greens 50</t>
  </si>
  <si>
    <t>Leafy Greens, Cruciferous</t>
  </si>
  <si>
    <t>675fe1e2589348ac18b05d65</t>
  </si>
  <si>
    <t>1st Phorm Opti-Reds 50</t>
  </si>
  <si>
    <t>Cruciferous, Nightshades</t>
  </si>
  <si>
    <t>Berries, Tropical Fruits</t>
  </si>
  <si>
    <t>6771451c9ac20d85d8c75a0e</t>
  </si>
  <si>
    <t>1st Phorm Phormula-1 CTC</t>
  </si>
  <si>
    <t>6771451c9ac20d85d8c75a0f</t>
  </si>
  <si>
    <t>1st Phorm Phormula-1 Chocolate Milkshake</t>
  </si>
  <si>
    <t>6771451c9ac20d85d8c75a10</t>
  </si>
  <si>
    <t>1st Phorm Phormula-1 Loop D Fruit</t>
  </si>
  <si>
    <t>675fe1e2589348ac18b05d66</t>
  </si>
  <si>
    <t>1st Phorm Vegan Power Pro Vanilla Creme Powder</t>
  </si>
  <si>
    <t>Gluten-Free Grains</t>
  </si>
  <si>
    <t>Beans, Lentils, Tree Nuts</t>
  </si>
  <si>
    <t>6597ed75ff026c56da97616a</t>
  </si>
  <si>
    <t>2% Milk</t>
  </si>
  <si>
    <t>684806e2a8c459878382c5df</t>
  </si>
  <si>
    <t>72% Dark Chocolate</t>
  </si>
  <si>
    <t>Tree Nuts</t>
  </si>
  <si>
    <t>6650a3e92368600201d29d5f</t>
  </si>
  <si>
    <t>75% Dark Chocolate</t>
  </si>
  <si>
    <t>6597ed65ff026c56da975f0d</t>
  </si>
  <si>
    <t>80% Lean Ground Beef</t>
  </si>
  <si>
    <t>Beef</t>
  </si>
  <si>
    <t>67c1820973f218d0633dc5ba</t>
  </si>
  <si>
    <t>85% Dark Chocolate</t>
  </si>
  <si>
    <t>6597ed65ff026c56da975f0f</t>
  </si>
  <si>
    <t>85% Lean Ground Beef</t>
  </si>
  <si>
    <t>67528fcc30baf48560ea8cd2</t>
  </si>
  <si>
    <t>85% Lean Ground Turkey</t>
  </si>
  <si>
    <t>Turkey</t>
  </si>
  <si>
    <t>6597ed76ff026c56da9761bc</t>
  </si>
  <si>
    <t>90% Lean Ground Beef</t>
  </si>
  <si>
    <t>664f17629e1fd386653e7078</t>
  </si>
  <si>
    <t>92% Lean Ground Chicken</t>
  </si>
  <si>
    <t>Chicken</t>
  </si>
  <si>
    <t>664f1762ba311f5dc622c99b</t>
  </si>
  <si>
    <t>93% Lean Ground Beef</t>
  </si>
  <si>
    <t>6597ed6bff026c56da975fdb</t>
  </si>
  <si>
    <t>93% Lean Ground Turkey</t>
  </si>
  <si>
    <t>685522f2a2fdbbb8dd6ef4f6</t>
  </si>
  <si>
    <t>97% Fat Free Shaved Honey Leg Ham</t>
  </si>
  <si>
    <t>664f17624caaa4202b8a3214</t>
  </si>
  <si>
    <t>98% Fat-Free Cream of Chicken Soup</t>
  </si>
  <si>
    <t>Dairy, Chicken</t>
  </si>
  <si>
    <t>Wheat, Corn</t>
  </si>
  <si>
    <t>67a4343748ad24c4a120a66f</t>
  </si>
  <si>
    <t>99% Fat Free Coleslaw Dressing</t>
  </si>
  <si>
    <t>684806e2a8c459878382c58d</t>
  </si>
  <si>
    <t>A2 Milk Light Milk</t>
  </si>
  <si>
    <t>684806e2a8c459878382c58e</t>
  </si>
  <si>
    <t>ABC Sweet Soy Sauce</t>
  </si>
  <si>
    <t>674698d024c0ced1e5915acb</t>
  </si>
  <si>
    <t>AG1 Greens Powder</t>
  </si>
  <si>
    <t>67320ad689b3bf49ae88d695</t>
  </si>
  <si>
    <t>AH Almond Butter</t>
  </si>
  <si>
    <t>685522f2a2fdbbb8dd6ef4f8</t>
  </si>
  <si>
    <t>AH Free-Range Chicken Meatballs</t>
  </si>
  <si>
    <t>Alliums</t>
  </si>
  <si>
    <t>67320ad689b3bf49ae88d653</t>
  </si>
  <si>
    <t>AH Tortilla Meergranen Wraps</t>
  </si>
  <si>
    <t>677d30843a4714a02f9000c5</t>
  </si>
  <si>
    <t>ATP Lab Supreme Beef Protein Chocolate</t>
  </si>
  <si>
    <t>684807b9a8c459878382c629</t>
  </si>
  <si>
    <t>AXA Rolled oats</t>
  </si>
  <si>
    <t>66191303b8049ccf94165338</t>
  </si>
  <si>
    <t>Abalone (Mixed Species)</t>
  </si>
  <si>
    <t>Shellfish</t>
  </si>
  <si>
    <t>682c4ea3f2fdbf2cd0ac6148</t>
  </si>
  <si>
    <t>Abbott's Bakery Gluten Free Soy &amp; Linseed Bread</t>
  </si>
  <si>
    <t>Eggs</t>
  </si>
  <si>
    <t>682c4ea3f2fdbf2cd0ac6132</t>
  </si>
  <si>
    <t>Abbott's Bakery Sourdough White Bread</t>
  </si>
  <si>
    <t>675fe1e2589348ac18b05d3c</t>
  </si>
  <si>
    <t>Abe's Low Carb Bagels</t>
  </si>
  <si>
    <t>67a4343748ad24c4a120a664</t>
  </si>
  <si>
    <t>Abe's The Natural Bagels</t>
  </si>
  <si>
    <t>67a4343748ad24c4a120a679</t>
  </si>
  <si>
    <t>Abe's The Supergrain Bagels</t>
  </si>
  <si>
    <t>Wheat, Gluten-Free Grains, Corn</t>
  </si>
  <si>
    <t>677d30843a4714a02f9000c6</t>
  </si>
  <si>
    <t>Abe's The Thiiins Natural Bagels</t>
  </si>
  <si>
    <t>66191314b8049ccf941654e2</t>
  </si>
  <si>
    <t>Abiyuch</t>
  </si>
  <si>
    <t>674698d024c0ced1e5915acc</t>
  </si>
  <si>
    <t>Acai Puree</t>
  </si>
  <si>
    <t>66191314b8049ccf941654e1</t>
  </si>
  <si>
    <t>Acerola</t>
  </si>
  <si>
    <t>Citrus</t>
  </si>
  <si>
    <t>6619133bb8049ccf94165904</t>
  </si>
  <si>
    <t>Acerola Juice</t>
  </si>
  <si>
    <t>664723a7d7f2b6e4e782d686</t>
  </si>
  <si>
    <t>Achiote Paste</t>
  </si>
  <si>
    <t>Corn</t>
  </si>
  <si>
    <t>6597ed65ff026c56da975efb</t>
  </si>
  <si>
    <t>Ackee</t>
  </si>
  <si>
    <t>6619133eb8049ccf94165934</t>
  </si>
  <si>
    <t>Acorn Flour</t>
  </si>
  <si>
    <t>Other</t>
  </si>
  <si>
    <t>6597ed70ff026c56da9760a3</t>
  </si>
  <si>
    <t>Acorn Squash</t>
  </si>
  <si>
    <t>66191319b8049ccf94165557</t>
  </si>
  <si>
    <t>Acorns Nuts</t>
  </si>
  <si>
    <t>6619132db8049ccf94165773</t>
  </si>
  <si>
    <t>Adobo Fresco</t>
  </si>
  <si>
    <t>66191314b8049ccf941654df</t>
  </si>
  <si>
    <t>Adzuki Beans</t>
  </si>
  <si>
    <t>Beans</t>
  </si>
  <si>
    <t>66191314b8049ccf941654e0</t>
  </si>
  <si>
    <t>Adzuki Beans (Canned)</t>
  </si>
  <si>
    <t>66191314b8049ccf941654de</t>
  </si>
  <si>
    <t>Adzuki Yokan Beans (Mature Seeds)</t>
  </si>
  <si>
    <t>685522f2a2fdbbb8dd6ef4f7</t>
  </si>
  <si>
    <t>Aeroplane Jelly Lite Lemon</t>
  </si>
  <si>
    <t>684806e2a8c459878382c58f</t>
  </si>
  <si>
    <t>Aeroplane Jelly Lite Port Wine</t>
  </si>
  <si>
    <t>67a2e5d1ba7dab10cef75d6f</t>
  </si>
  <si>
    <t>Aeroplane Jelly Lite Raspberry</t>
  </si>
  <si>
    <t>684806e2a8c459878382c590</t>
  </si>
  <si>
    <t>Aeroplane Jelly Lite Strawberry</t>
  </si>
  <si>
    <t>66191306b8049ccf9416535f</t>
  </si>
  <si>
    <t>Agar Seaweed</t>
  </si>
  <si>
    <t>6650a3e90ed0a91fc8971185</t>
  </si>
  <si>
    <t>Agar-agar</t>
  </si>
  <si>
    <t>661912fdb8049ccf94165293</t>
  </si>
  <si>
    <t>Agave Nectar</t>
  </si>
  <si>
    <t>6650a3e92bcff37b618a77aa</t>
  </si>
  <si>
    <t>Agave Syrup</t>
  </si>
  <si>
    <t>6597ed6eff026c56da97605a</t>
  </si>
  <si>
    <t>Ahi Tuna</t>
  </si>
  <si>
    <t>Fish</t>
  </si>
  <si>
    <t>6597ed6eff026c56da976055</t>
  </si>
  <si>
    <t>Ahi Tuna Steaks</t>
  </si>
  <si>
    <t>67a4343748ad24c4a120a670</t>
  </si>
  <si>
    <t>Aioli</t>
  </si>
  <si>
    <t>Eggs, Dairy</t>
  </si>
  <si>
    <t>Fresh Herbs, Spicy</t>
  </si>
  <si>
    <t>682c4ea3f2fdbf2cd0ac6133</t>
  </si>
  <si>
    <t>Air Fried Chips</t>
  </si>
  <si>
    <t>Potatoes, Corn</t>
  </si>
  <si>
    <t>66191303b8049ccf94165337</t>
  </si>
  <si>
    <t>Alaska King Crab</t>
  </si>
  <si>
    <t>6597ed6eff026c56da976048</t>
  </si>
  <si>
    <t>Albacore Tuna In Water</t>
  </si>
  <si>
    <t>66191316b8049ccf9416550f</t>
  </si>
  <si>
    <t>Alcohol</t>
  </si>
  <si>
    <t>682c4ea3f2fdbf2cd0ac6136</t>
  </si>
  <si>
    <t>Aldi Basmati Microwavable Rice</t>
  </si>
  <si>
    <t>682c4ea3f2fdbf2cd0ac6134</t>
  </si>
  <si>
    <t>Aldi Brioche Buns</t>
  </si>
  <si>
    <t>674698d024c0ced1e5915a8b</t>
  </si>
  <si>
    <t>Aldi Chicken Sausages</t>
  </si>
  <si>
    <t>682c4ea3f2fdbf2cd0ac6135</t>
  </si>
  <si>
    <t>Aldi Hash Brown Patties</t>
  </si>
  <si>
    <t>Potatoes</t>
  </si>
  <si>
    <t>685522f2a2fdbbb8dd6ef4f9</t>
  </si>
  <si>
    <t>Aldi High Protein Banana Pancakes</t>
  </si>
  <si>
    <t>6771451c9ac20d85d8c759da</t>
  </si>
  <si>
    <t>Aldi No Chicken Breasts</t>
  </si>
  <si>
    <t>685522f2a2fdbbb8dd6ef4fa</t>
  </si>
  <si>
    <t>Aldi Organic Uncured Beef Hot Dogs</t>
  </si>
  <si>
    <t>682c4ea3f2fdbf2cd0ac6137</t>
  </si>
  <si>
    <t>Aldi The Fishmonger Raw Jumbo King Prawns</t>
  </si>
  <si>
    <t>67320ad689b3bf49ae88d654</t>
  </si>
  <si>
    <t>Aldi Village Protein Tortilla Wraps</t>
  </si>
  <si>
    <t>685522f2a2fdbbb8dd6ef4fb</t>
  </si>
  <si>
    <t>Aldi Winter Vegetables</t>
  </si>
  <si>
    <t>Cruciferous</t>
  </si>
  <si>
    <t>677d30843a4714a02f9000c7</t>
  </si>
  <si>
    <t>Alexandre 6% Whole Milk (A2/A2)</t>
  </si>
  <si>
    <t>66191314b8049ccf941654dd</t>
  </si>
  <si>
    <t>Alfalfa Seeds (Sprouted)</t>
  </si>
  <si>
    <t>6619132db8049ccf94165772</t>
  </si>
  <si>
    <t>Alfredo Mix Sauce</t>
  </si>
  <si>
    <t>685522f2a2fdbbb8dd6ef4fc</t>
  </si>
  <si>
    <t>Alfresco Sweet Italian Style Chicken Sausage</t>
  </si>
  <si>
    <t>674698d024c0ced1e5915a8c</t>
  </si>
  <si>
    <t>All Butter Croissant</t>
  </si>
  <si>
    <t>66191319b8049ccf94165556</t>
  </si>
  <si>
    <t>All Flavors Formulated Nuts</t>
  </si>
  <si>
    <t>6650a3e91d4ef01ecb0a1d47</t>
  </si>
  <si>
    <t>All Purpose Flour</t>
  </si>
  <si>
    <t>6597ed63ff026c56da975ec3</t>
  </si>
  <si>
    <t>All Spice</t>
  </si>
  <si>
    <t>Dried Herbs &amp; Spices, Spicy</t>
  </si>
  <si>
    <t>67a2e5d1ba7dab10cef75d5e</t>
  </si>
  <si>
    <t>Allegro Cheese</t>
  </si>
  <si>
    <t>6855227fa2fdbbb8dd6ef4f0</t>
  </si>
  <si>
    <t>Allen's Snakes Alive</t>
  </si>
  <si>
    <t>6597ed7bff026c56da97628d</t>
  </si>
  <si>
    <t>Allergy-free Chocolate Chips</t>
  </si>
  <si>
    <t>664f40aa3f399a57ebd22c4c</t>
  </si>
  <si>
    <t>Allspice</t>
  </si>
  <si>
    <t>66191301b8049ccf941652bc</t>
  </si>
  <si>
    <t>Allspice Ground</t>
  </si>
  <si>
    <t>675fe1e2589348ac18b05d71</t>
  </si>
  <si>
    <t>Almarai Feta Cheese Low Fat And Less Salt Lite</t>
  </si>
  <si>
    <t>685522f2a2fdbbb8dd6ef526</t>
  </si>
  <si>
    <t>Almond Breeze Almond Milk Unsweetened Original</t>
  </si>
  <si>
    <t>Non-Dairy Milk</t>
  </si>
  <si>
    <t>664723a7d7f2b6e4e782d685</t>
  </si>
  <si>
    <t>Almond Butter</t>
  </si>
  <si>
    <t>6619132cb8049ccf9416574a</t>
  </si>
  <si>
    <t>Almond Butter Nuts</t>
  </si>
  <si>
    <t>6597ed66ff026c56da975f2d</t>
  </si>
  <si>
    <t>Almond Candy Dough</t>
  </si>
  <si>
    <t>6597ed64ff026c56da975ee9</t>
  </si>
  <si>
    <t>Almond Drink</t>
  </si>
  <si>
    <t>664723a7d7f2b6e4e782d684</t>
  </si>
  <si>
    <t>Almond Extract</t>
  </si>
  <si>
    <t>6597ed66ff026c56da975f20</t>
  </si>
  <si>
    <t>Almond Flakes</t>
  </si>
  <si>
    <t>Nightshades</t>
  </si>
  <si>
    <t>664723a7d7f2b6e4e782d683</t>
  </si>
  <si>
    <t>Almond Flour</t>
  </si>
  <si>
    <t>664723a7d7f2b6e4e782d682</t>
  </si>
  <si>
    <t>Almond Meal</t>
  </si>
  <si>
    <t>664723a7d7f2b6e4e782d681</t>
  </si>
  <si>
    <t>Almond Milk</t>
  </si>
  <si>
    <t>685522f2a2fdbbb8dd6ef4fd</t>
  </si>
  <si>
    <t>Almond Milk Latte</t>
  </si>
  <si>
    <t>6619132cb8049ccf94165749</t>
  </si>
  <si>
    <t>Almond Nut Paste</t>
  </si>
  <si>
    <t>66191318b8049ccf94165548</t>
  </si>
  <si>
    <t>Almond Vegetable Oil</t>
  </si>
  <si>
    <t>6619131ab8049ccf941655a7</t>
  </si>
  <si>
    <t>Almonds</t>
  </si>
  <si>
    <t>6597ed66ff026c56da975f23</t>
  </si>
  <si>
    <t>Almonds Slivered</t>
  </si>
  <si>
    <t>6597ed6eff026c56da976051</t>
  </si>
  <si>
    <t>Aloe Water</t>
  </si>
  <si>
    <t>664723a7d7f2b6e4e782d67f</t>
  </si>
  <si>
    <t>Alpro Greek Style Plain Yogurt Alternative</t>
  </si>
  <si>
    <t>684807b9a8c459878382c640</t>
  </si>
  <si>
    <t>Alpro Original Coconut Drink</t>
  </si>
  <si>
    <t>677d30843a4714a02f9000b4</t>
  </si>
  <si>
    <t>Alpro Single Cream</t>
  </si>
  <si>
    <t>685522f2a2fdbbb8dd6ef4fe</t>
  </si>
  <si>
    <t>Alter Eco 90% Cacao Mint Blackout Organic Dark Chocolate</t>
  </si>
  <si>
    <t>6597ed7fff026c56da976358</t>
  </si>
  <si>
    <t>Aluminum-free Baking Powder</t>
  </si>
  <si>
    <t>684806e2a8c459878382c591</t>
  </si>
  <si>
    <t>Always Fresh Garlic Minced</t>
  </si>
  <si>
    <t>682c4ea3f2fdbf2cd0ac6138</t>
  </si>
  <si>
    <t>Always Fresh Sundried Tomato Strips</t>
  </si>
  <si>
    <t>Nightshades, Alliums</t>
  </si>
  <si>
    <t>66191331b8049ccf941657d5</t>
  </si>
  <si>
    <t>Amaranth</t>
  </si>
  <si>
    <t>66191331b8049ccf941657d4</t>
  </si>
  <si>
    <t>Amaranth Flakes</t>
  </si>
  <si>
    <t>66191314b8049ccf941654dc</t>
  </si>
  <si>
    <t>Amaranth Leaves</t>
  </si>
  <si>
    <t>Leafy Greens</t>
  </si>
  <si>
    <t>6619132db8049ccf94165778</t>
  </si>
  <si>
    <t>American Cheese</t>
  </si>
  <si>
    <t>66191303b8049ccf94165336</t>
  </si>
  <si>
    <t>American Shad (Fish)</t>
  </si>
  <si>
    <t>67320ad689b3bf49ae88d649</t>
  </si>
  <si>
    <t>Amour Beef Meatballs</t>
  </si>
  <si>
    <t>67a4343748ad24c4a120a61d</t>
  </si>
  <si>
    <t>Amoy Light Soy Sauce</t>
  </si>
  <si>
    <t>674698d024c0ced1e5915a8d</t>
  </si>
  <si>
    <t>Amul Masti Spiced Buttermilk</t>
  </si>
  <si>
    <t>6771451c9ac20d85d8c759dd</t>
  </si>
  <si>
    <t>Anabolix Monster Weight Gainer</t>
  </si>
  <si>
    <t>6597ed7cff026c56da9762ac</t>
  </si>
  <si>
    <t>Ancho Chile Powder</t>
  </si>
  <si>
    <t>Spicy, Dried Herbs &amp; Spices</t>
  </si>
  <si>
    <t>677d30843a4714a02f9000c8</t>
  </si>
  <si>
    <t>Anchor Protein Yoghurt</t>
  </si>
  <si>
    <t>66191334b8049ccf941657e0</t>
  </si>
  <si>
    <t>Anchovy</t>
  </si>
  <si>
    <t>Fish, Dairy</t>
  </si>
  <si>
    <t>66191334b8049ccf941657df</t>
  </si>
  <si>
    <t>Anchovy (Canned)</t>
  </si>
  <si>
    <t>6597ed75ff026c56da97617c</t>
  </si>
  <si>
    <t>Andes Mints</t>
  </si>
  <si>
    <t>667d2dbe8cc087857311d722</t>
  </si>
  <si>
    <t>Angel Hair Spaghetti</t>
  </si>
  <si>
    <t>6771451c9ac20d85d8c759de</t>
  </si>
  <si>
    <t>Angus Beef Top Sirloin Steak</t>
  </si>
  <si>
    <t>66191318b8049ccf9416554b</t>
  </si>
  <si>
    <t>Anise Seed</t>
  </si>
  <si>
    <t>684806e2a8c459878382c592</t>
  </si>
  <si>
    <t>Annalisa Tomatoes Peeled</t>
  </si>
  <si>
    <t>67a4343748ad24c4a120a67c</t>
  </si>
  <si>
    <t>Annie's Orchard Unsweetened Oat Milk</t>
  </si>
  <si>
    <t>67a4343748ad24c4a120a67b</t>
  </si>
  <si>
    <t>Annie's Organic Green Goddess Dressing</t>
  </si>
  <si>
    <t>66191327b8049ccf94165726</t>
  </si>
  <si>
    <t>Antelope Meat</t>
  </si>
  <si>
    <t>6597ed77ff026c56da9761ed</t>
  </si>
  <si>
    <t>Apple</t>
  </si>
  <si>
    <t>6597ed62ff026c56da975eaa</t>
  </si>
  <si>
    <t>Apple Cider</t>
  </si>
  <si>
    <t>664723a7d7f2b6e4e782d67e</t>
  </si>
  <si>
    <t>Apple Cider Vinegar</t>
  </si>
  <si>
    <t>6619133eb8049ccf94165935</t>
  </si>
  <si>
    <t>Apple Croissants</t>
  </si>
  <si>
    <t>6619131cb8049ccf941655b4</t>
  </si>
  <si>
    <t>Apple Fruit Butters</t>
  </si>
  <si>
    <t>685522f2a2fdbbb8dd6ef4ff</t>
  </si>
  <si>
    <t>Apple Guava Juice</t>
  </si>
  <si>
    <t>664723a1d7f2b6e4e782d56d</t>
  </si>
  <si>
    <t>Apple Juice</t>
  </si>
  <si>
    <t>6619133bb8049ccf94165903</t>
  </si>
  <si>
    <t>Apple Juice (Canned or Bottled)</t>
  </si>
  <si>
    <t>6619133bb8049ccf94165902</t>
  </si>
  <si>
    <t>Apple Juice (Frozen Concentrate)</t>
  </si>
  <si>
    <t>6771451c9ac20d85d8c759df</t>
  </si>
  <si>
    <t>Apple Pie Filling</t>
  </si>
  <si>
    <t>684806e2a8c459878382c594</t>
  </si>
  <si>
    <t>Apple Rice Cake</t>
  </si>
  <si>
    <t>6597ed65ff026c56da975f1a</t>
  </si>
  <si>
    <t>Apple Sauce</t>
  </si>
  <si>
    <t>66191314b8049ccf941654db</t>
  </si>
  <si>
    <t>Apples (Canned)</t>
  </si>
  <si>
    <t>66191336b8049ccf9416583e</t>
  </si>
  <si>
    <t>Applesauce (Canned)</t>
  </si>
  <si>
    <t>6597ed80ff026c56da976369</t>
  </si>
  <si>
    <t>Applewood Smoked Bacon</t>
  </si>
  <si>
    <t>Pork</t>
  </si>
  <si>
    <t>6597ed6cff026c56da975ff9</t>
  </si>
  <si>
    <t>Apricot</t>
  </si>
  <si>
    <t>6619133eb8049ccf94165933</t>
  </si>
  <si>
    <t>Apricot Cake Filling</t>
  </si>
  <si>
    <t>Stone Fruits</t>
  </si>
  <si>
    <t>6597ed6bff026c56da975ff2</t>
  </si>
  <si>
    <t>Apricot Jam</t>
  </si>
  <si>
    <t>6597ed6cff026c56da975ff7</t>
  </si>
  <si>
    <t>Apricot Juice</t>
  </si>
  <si>
    <t>66191318b8049ccf94165547</t>
  </si>
  <si>
    <t>Apricot Kernel Vegetable Oil</t>
  </si>
  <si>
    <t>685522f2a2fdbbb8dd6ef500</t>
  </si>
  <si>
    <t>Apricot Nectar</t>
  </si>
  <si>
    <t>66191314b8049ccf941654da</t>
  </si>
  <si>
    <t>Apricots (Canned)</t>
  </si>
  <si>
    <t>66191314b8049ccf941654d9</t>
  </si>
  <si>
    <t>Apricots (Frozen)</t>
  </si>
  <si>
    <t>67a4343748ad24c4a120a671</t>
  </si>
  <si>
    <t>Aquafaba</t>
  </si>
  <si>
    <t>67a4343748ad24c4a120a67a</t>
  </si>
  <si>
    <t>Arborio Rice</t>
  </si>
  <si>
    <t>685522f2a2fdbbb8dd6ef501</t>
  </si>
  <si>
    <t>Ardmona Pie Fruit Apples Sliced</t>
  </si>
  <si>
    <t>67c1820973f218d0633dc581</t>
  </si>
  <si>
    <t>Ardmona Rich &amp; Thick Diced Tomatoes With Paste Basil &amp; Garlic</t>
  </si>
  <si>
    <t>664723a7d7f2b6e4e782d67d</t>
  </si>
  <si>
    <t>Argentinian Grill Spice</t>
  </si>
  <si>
    <t>Leafy Greens, Alliums</t>
  </si>
  <si>
    <t>682c4ea3f2fdbf2cd0ac6125</t>
  </si>
  <si>
    <t>Arla Bregott Light</t>
  </si>
  <si>
    <t>682c4e2cf2fdbf2cd0ac60bb</t>
  </si>
  <si>
    <t>Arla Cooking Cream 13%</t>
  </si>
  <si>
    <t>685522f2a2fdbbb8dd6ef502</t>
  </si>
  <si>
    <t>Arla Protein Chocolate Milk Drink</t>
  </si>
  <si>
    <t>67a2e5d1ba7dab10cef75d4c</t>
  </si>
  <si>
    <t>Arla Protein Chocolate Pudding</t>
  </si>
  <si>
    <t>67c1820973f218d0633dc582</t>
  </si>
  <si>
    <t>Arla Skyr Natural Yoghurt</t>
  </si>
  <si>
    <t>682c4ea3f2fdbf2cd0ac611a</t>
  </si>
  <si>
    <t>Arla Vanilla Cottage Cheese</t>
  </si>
  <si>
    <t>685522f2a2fdbbb8dd6ef503</t>
  </si>
  <si>
    <t>Arnold Seeded Jewish Rye Bread</t>
  </si>
  <si>
    <t>684806e2a8c459878382c596</t>
  </si>
  <si>
    <t>Arnott's Butternut Snap Cookie Plain Biscuits</t>
  </si>
  <si>
    <t>Tree Nuts, Soy</t>
  </si>
  <si>
    <t>675fe1e2589348ac18b05d85</t>
  </si>
  <si>
    <t>Arnott's Choc Ripple Biscuits</t>
  </si>
  <si>
    <t>686f884cf4c3091b2e8c5e7d</t>
  </si>
  <si>
    <t>Arnott's Cruskits Original Crispbreads</t>
  </si>
  <si>
    <t>686f884cf4c3091b2e8c5e7e</t>
  </si>
  <si>
    <t>Arnott's Cruskits Rye Crispbreads</t>
  </si>
  <si>
    <t>684806e2a8c459878382c598</t>
  </si>
  <si>
    <t>Arnott's Gingernut Biscuits</t>
  </si>
  <si>
    <t>684806e2a8c459878382c599</t>
  </si>
  <si>
    <t>Arnott's Iced Vo Vo Biscuits</t>
  </si>
  <si>
    <t>685522f2a2fdbbb8dd6ef504</t>
  </si>
  <si>
    <t>Arnott's Milk Arrowroot Plain Biscuits</t>
  </si>
  <si>
    <t>684806e2a8c459878382c59a</t>
  </si>
  <si>
    <t>Arnott's Mini Choc Chip Cookie Multipack Biscuits</t>
  </si>
  <si>
    <t>Soy, Tree Nuts</t>
  </si>
  <si>
    <t>684806e2a8c459878382c59d</t>
  </si>
  <si>
    <t>Arnott's Neapolitan Treatles Biscuits</t>
  </si>
  <si>
    <t>Soy, Tree Nuts, Peanuts</t>
  </si>
  <si>
    <t>684806e2a8c459878382c595</t>
  </si>
  <si>
    <t>Arnott's Premier Chocolate Chip Cookies</t>
  </si>
  <si>
    <t>684806e2a8c459878382c59c</t>
  </si>
  <si>
    <t>Arnott's Tim Tam Original Chocolate Biscuits</t>
  </si>
  <si>
    <t>684806e2a8c459878382c597</t>
  </si>
  <si>
    <t>Arnott's Tim Tam White Chocolate Biscuits</t>
  </si>
  <si>
    <t>684806e2a8c459878382c59b</t>
  </si>
  <si>
    <t>Arnott's Tiny Teddy Variety Multipack Biscuits</t>
  </si>
  <si>
    <t>Soy, Peanuts, Tree Nuts</t>
  </si>
  <si>
    <t>685522f2a2fdbbb8dd6ef505</t>
  </si>
  <si>
    <t>Arnott's Vita-Weat Original</t>
  </si>
  <si>
    <t>677d30843a4714a02f9000c9</t>
  </si>
  <si>
    <t>Arrabbiata Pasta Sauce</t>
  </si>
  <si>
    <t>66191314b8049ccf941654d8</t>
  </si>
  <si>
    <t>Arrowhead</t>
  </si>
  <si>
    <t>66191314b8049ccf941654d7</t>
  </si>
  <si>
    <t>Arrowroot</t>
  </si>
  <si>
    <t>6597ed64ff026c56da975eee</t>
  </si>
  <si>
    <t>Arrowroot Powder</t>
  </si>
  <si>
    <t>664723a7d7f2b6e4e782d67c</t>
  </si>
  <si>
    <t>Artichoke Antipasti</t>
  </si>
  <si>
    <t>66191314b8049ccf941654d6</t>
  </si>
  <si>
    <t>Artichokes</t>
  </si>
  <si>
    <t>66191313b8049ccf941654d5</t>
  </si>
  <si>
    <t>Artichokes (Frozen)</t>
  </si>
  <si>
    <t>66191313b8049ccf941654d4</t>
  </si>
  <si>
    <t>Arugula (Rocket)</t>
  </si>
  <si>
    <t>6650a3e971ecfe7ca7ccb536</t>
  </si>
  <si>
    <t>Asafoetida</t>
  </si>
  <si>
    <t>67a4343748ad24c4a120a67d</t>
  </si>
  <si>
    <t>Ascent Iced Coffee With Protein</t>
  </si>
  <si>
    <t>667d2dbe4e78c1ac97cf97c7</t>
  </si>
  <si>
    <t>Asian Hot Chili Sauce</t>
  </si>
  <si>
    <t>66191313b8049ccf941654d3</t>
  </si>
  <si>
    <t>Asian Pear</t>
  </si>
  <si>
    <t>674698d024c0ced1e5915a8e</t>
  </si>
  <si>
    <t>Asian Salad Kit</t>
  </si>
  <si>
    <t>67320ad689b3bf49ae88d67f</t>
  </si>
  <si>
    <t>Asian Salad Slaw</t>
  </si>
  <si>
    <t>66191313b8049ccf941654d2</t>
  </si>
  <si>
    <t>Asparagus</t>
  </si>
  <si>
    <t>6597ed65ff026c56da975f10</t>
  </si>
  <si>
    <t>Assorted Fruit</t>
  </si>
  <si>
    <t>66191303b8049ccf94165334</t>
  </si>
  <si>
    <t>Atlantic Cod</t>
  </si>
  <si>
    <t>66191303b8049ccf94165333</t>
  </si>
  <si>
    <t>Atlantic Cod (Canned)</t>
  </si>
  <si>
    <t>66191303b8049ccf94165332</t>
  </si>
  <si>
    <t>Atlantic Croaker</t>
  </si>
  <si>
    <t>Fish, Shellfish</t>
  </si>
  <si>
    <t>66191303b8049ccf94165331</t>
  </si>
  <si>
    <t>Atlantic Herring</t>
  </si>
  <si>
    <t>66191303b8049ccf94165330</t>
  </si>
  <si>
    <t>Atlantic Mackerel</t>
  </si>
  <si>
    <t>66191303b8049ccf9416532f</t>
  </si>
  <si>
    <t>Atlantic Ocean Perch</t>
  </si>
  <si>
    <t>66191303b8049ccf9416532e</t>
  </si>
  <si>
    <t>Atlantic Pollock (Fish)</t>
  </si>
  <si>
    <t>66191303b8049ccf9416532d</t>
  </si>
  <si>
    <t>Atlantic Salmon (Farmed)</t>
  </si>
  <si>
    <t>66191334b8049ccf941657de</t>
  </si>
  <si>
    <t>Atlantic Sardine (Canned)</t>
  </si>
  <si>
    <t>66191303b8049ccf9416532c</t>
  </si>
  <si>
    <t>Atlantic Wolfish</t>
  </si>
  <si>
    <t>66191303b8049ccf94165335</t>
  </si>
  <si>
    <t>Atlantic and Pacific Halibut</t>
  </si>
  <si>
    <t>Alcohol, Sweeteners</t>
  </si>
  <si>
    <t>684806e2a8c459878382c59e</t>
  </si>
  <si>
    <t>Atoria’s Traditional Lavash</t>
  </si>
  <si>
    <t>66191313b8049ccf941654d1</t>
  </si>
  <si>
    <t>Au Gratin Potatoes</t>
  </si>
  <si>
    <t>Wheat, Potatoes</t>
  </si>
  <si>
    <t>66191336b8049ccf9416583c</t>
  </si>
  <si>
    <t>Au Jus Gravy</t>
  </si>
  <si>
    <t>66191336b8049ccf9416583d</t>
  </si>
  <si>
    <t>Au Jus Gravy (Canned)</t>
  </si>
  <si>
    <t>Fresh Herbs</t>
  </si>
  <si>
    <t>684806e2a8c459878382c5a0</t>
  </si>
  <si>
    <t>Aunt Betty's Sticky Date Rice Pudding</t>
  </si>
  <si>
    <t>Corn, Wheat</t>
  </si>
  <si>
    <t>674698d024c0ced1e5915a8f</t>
  </si>
  <si>
    <t>Not Oke</t>
  </si>
  <si>
    <t>Australia's Own Barista Almond Milk</t>
  </si>
  <si>
    <t>674698d024c0ced1e5915a90</t>
  </si>
  <si>
    <t>Australia's Own Macadiamia Milk</t>
  </si>
  <si>
    <t>674698d024c0ced1e5915a91</t>
  </si>
  <si>
    <t>Australia's Own Oat Milk</t>
  </si>
  <si>
    <t>66191326b8049ccf94165703</t>
  </si>
  <si>
    <t>Australian Lamb</t>
  </si>
  <si>
    <t>Lamb</t>
  </si>
  <si>
    <t>66191326b8049ccf94165702</t>
  </si>
  <si>
    <t>Australian Lamb Fat</t>
  </si>
  <si>
    <t>66191326b8049ccf94165701</t>
  </si>
  <si>
    <t>Australian Lamb Foreshank</t>
  </si>
  <si>
    <t>66191326b8049ccf94165700</t>
  </si>
  <si>
    <t>Australian Lamb Leg (Center Slice)</t>
  </si>
  <si>
    <t>66191326b8049ccf941656ff</t>
  </si>
  <si>
    <t>Australian Lamb Leg (Shank Half)</t>
  </si>
  <si>
    <t>66191326b8049ccf941656fe</t>
  </si>
  <si>
    <t>Australian Lamb Leg (Sirloin Chops)</t>
  </si>
  <si>
    <t>66191326b8049ccf941656fd</t>
  </si>
  <si>
    <t>Australian Lamb Leg (Sirloin Half)</t>
  </si>
  <si>
    <t>66191326b8049ccf941656fc</t>
  </si>
  <si>
    <t>Australian Lamb Loin</t>
  </si>
  <si>
    <t>66191326b8049ccf941656fb</t>
  </si>
  <si>
    <t>Australian Lamb Ribs</t>
  </si>
  <si>
    <t>66191326b8049ccf941656fa</t>
  </si>
  <si>
    <t>Australian Lamb Shoulder Arm</t>
  </si>
  <si>
    <t>66191326b8049ccf941656f9</t>
  </si>
  <si>
    <t>Australian Lamb Shoulder Arm and Blade</t>
  </si>
  <si>
    <t>66191326b8049ccf941656f8</t>
  </si>
  <si>
    <t>Australian Lamb Shoulder Blade</t>
  </si>
  <si>
    <t>675fe1e2589348ac18b05d86</t>
  </si>
  <si>
    <t>Avalanche 99% Sugar Free Drinking Chocolate</t>
  </si>
  <si>
    <t>685522f2a2fdbbb8dd6ef506</t>
  </si>
  <si>
    <t>Avalanche Cafe Style Cappuccino</t>
  </si>
  <si>
    <t>684806e2a8c459878382c58c</t>
  </si>
  <si>
    <t>Avalanche Coffee Sachets 99% Sugar Free Caramel Latte</t>
  </si>
  <si>
    <t>6597ed80ff026c56da976379</t>
  </si>
  <si>
    <t>Avocado</t>
  </si>
  <si>
    <t>6597ed80ff026c56da97637a</t>
  </si>
  <si>
    <t>Avocado Leaf</t>
  </si>
  <si>
    <t>67320ad689b3bf49ae88d655</t>
  </si>
  <si>
    <t>Avocado Mayo</t>
  </si>
  <si>
    <t>6597ed80ff026c56da976376</t>
  </si>
  <si>
    <t>Avocado Oil</t>
  </si>
  <si>
    <t>684806e2a8c459878382c5a2</t>
  </si>
  <si>
    <t>Avofresh Avocado Hint Of Lemon Tube</t>
  </si>
  <si>
    <t>685522f2a2fdbbb8dd6ef507</t>
  </si>
  <si>
    <t>Avofresh Classic Avocado Guacamole</t>
  </si>
  <si>
    <t>685522f2a2fdbbb8dd6ef508</t>
  </si>
  <si>
    <t>Ayam Dark Soy Sauce</t>
  </si>
  <si>
    <t>685522f2a2fdbbb8dd6ef509</t>
  </si>
  <si>
    <t>Ayam Fish Sauce</t>
  </si>
  <si>
    <t>685522f2a2fdbbb8dd6ef50a</t>
  </si>
  <si>
    <t>Ayam Gado Gado Peanut Sauce</t>
  </si>
  <si>
    <t>Peanuts</t>
  </si>
  <si>
    <t>685522f2a2fdbbb8dd6ef50b</t>
  </si>
  <si>
    <t>Ayam Instant Noodles</t>
  </si>
  <si>
    <t>67a4343748ad24c4a120a67e</t>
  </si>
  <si>
    <t>Ayam Light Coconut Cream</t>
  </si>
  <si>
    <t>685522f2a2fdbbb8dd6ef50c</t>
  </si>
  <si>
    <t>Ayam Light Soy Sauce</t>
  </si>
  <si>
    <t>685522f2a2fdbbb8dd6ef50d</t>
  </si>
  <si>
    <t>Ayam Oyster Sauce</t>
  </si>
  <si>
    <t>685522f2a2fdbbb8dd6ef50e</t>
  </si>
  <si>
    <t>Ayam Pure Sesame Oil</t>
  </si>
  <si>
    <t>684806e2a8c459878382c5a3</t>
  </si>
  <si>
    <t>Ayam Teriyaki Sauce</t>
  </si>
  <si>
    <t>685522f2a2fdbbb8dd6ef50f</t>
  </si>
  <si>
    <t>Ayam Thai Chilli Jam Paste</t>
  </si>
  <si>
    <t>674698d024c0ced1e5915a92</t>
  </si>
  <si>
    <t>Ayam Thai Sweet Chilli Light Sauce</t>
  </si>
  <si>
    <t>685522f2a2fdbbb8dd6ef510</t>
  </si>
  <si>
    <t>Ayam Thai Yellow Curry Paste</t>
  </si>
  <si>
    <t>677d30843a4714a02f9000a0</t>
  </si>
  <si>
    <t>BBQ Chicken</t>
  </si>
  <si>
    <t>682c4ea3f2fdbf2cd0ac610f</t>
  </si>
  <si>
    <t>BBQ Seasoning</t>
  </si>
  <si>
    <t>6771451c9ac20d85d8c759e2</t>
  </si>
  <si>
    <t>BC Chocolate Brownie Crunch Protein Bar</t>
  </si>
  <si>
    <t>684806e2a8c459878382c5a4</t>
  </si>
  <si>
    <t>BFree Gluten Free Stone Baked Pita Breads</t>
  </si>
  <si>
    <t>Gluten-Free Grains, Potatoes, Corn</t>
  </si>
  <si>
    <t>66191318b8049ccf94165546</t>
  </si>
  <si>
    <t>Babassu Vegetable Oil</t>
  </si>
  <si>
    <t>675fe1e2589348ac18b05d35</t>
  </si>
  <si>
    <t>Baby Applesauce</t>
  </si>
  <si>
    <t>664723a7d7f2b6e4e782d67b</t>
  </si>
  <si>
    <t>Baby Bok Choy</t>
  </si>
  <si>
    <t>667d2dbe782b6f678c3d16d0</t>
  </si>
  <si>
    <t>Baby Carrots</t>
  </si>
  <si>
    <t>664723a7d7f2b6e4e782d67a</t>
  </si>
  <si>
    <t>Baby Cucumbers</t>
  </si>
  <si>
    <t>6597ed7dff026c56da9762ed</t>
  </si>
  <si>
    <t>Baby Cut Carrots</t>
  </si>
  <si>
    <t>664f176227135ebe9cbd1416</t>
  </si>
  <si>
    <t>Baby Dutch Yellow Potatoe</t>
  </si>
  <si>
    <t>664723a7d7f2b6e4e782d679</t>
  </si>
  <si>
    <t>Baby Kale</t>
  </si>
  <si>
    <t>6597ed76ff026c56da9761b7</t>
  </si>
  <si>
    <t>Baby Leeks</t>
  </si>
  <si>
    <t>66191335b8049ccf9416580b</t>
  </si>
  <si>
    <t>Baby Lima Beans (Immature Seeds, Frozen)</t>
  </si>
  <si>
    <t>66191335b8049ccf9416580a</t>
  </si>
  <si>
    <t>Baby Lima Beans (Mature Seeds)</t>
  </si>
  <si>
    <t>6597ed74ff026c56da97614e</t>
  </si>
  <si>
    <t>Baby Peas</t>
  </si>
  <si>
    <t>664723a7d7f2b6e4e782d678</t>
  </si>
  <si>
    <t>Baby Plum Tomato</t>
  </si>
  <si>
    <t>6597ed7bff026c56da976280</t>
  </si>
  <si>
    <t>Baby Potato</t>
  </si>
  <si>
    <t>6597ed72ff026c56da9760ef</t>
  </si>
  <si>
    <t>Baby Prawns</t>
  </si>
  <si>
    <t>664723a7d7f2b6e4e782d677</t>
  </si>
  <si>
    <t>Baby Romaine Lettuce</t>
  </si>
  <si>
    <t>664723a7d7f2b6e4e782d676</t>
  </si>
  <si>
    <t>Baby Spinach</t>
  </si>
  <si>
    <t>6597ed6fff026c56da97608a</t>
  </si>
  <si>
    <t>Baby Spinach Leaves</t>
  </si>
  <si>
    <t>66191313b8049ccf941654d0</t>
  </si>
  <si>
    <t>Baby Zucchini</t>
  </si>
  <si>
    <t>6597ed6dff026c56da976028</t>
  </si>
  <si>
    <t>Baby Zucchinis</t>
  </si>
  <si>
    <t>682c4ea3f2fdbf2cd0ac6120</t>
  </si>
  <si>
    <t>Babybel Cheese Original</t>
  </si>
  <si>
    <t>684806e2a8c459878382c5a6</t>
  </si>
  <si>
    <t>Babybel Mini Cheese Original Protein</t>
  </si>
  <si>
    <t>685522f2a2fdbbb8dd6ef511</t>
  </si>
  <si>
    <t>Babybel Mini Light Cheese</t>
  </si>
  <si>
    <t>6597ed76ff026c56da9761a8</t>
  </si>
  <si>
    <t>Babyleaf Lettuce</t>
  </si>
  <si>
    <t>664723a7d7f2b6e4e782d675</t>
  </si>
  <si>
    <t>Bacon</t>
  </si>
  <si>
    <t>66191326b8049ccf941656f7</t>
  </si>
  <si>
    <t>Bacon (Cured)</t>
  </si>
  <si>
    <t>6597ed80ff026c56da976365</t>
  </si>
  <si>
    <t>Bacon Bits</t>
  </si>
  <si>
    <t>6597ed7fff026c56da97635b</t>
  </si>
  <si>
    <t>Bacon Ends &amp; Pieces</t>
  </si>
  <si>
    <t>6597ed80ff026c56da97636b</t>
  </si>
  <si>
    <t>Bacon Grease</t>
  </si>
  <si>
    <t>664723a7d7f2b6e4e782d674</t>
  </si>
  <si>
    <t>Bacon Medallions</t>
  </si>
  <si>
    <t>674698d024c0ced1e5915a93</t>
  </si>
  <si>
    <t>Badam Milk</t>
  </si>
  <si>
    <t>661912fdb8049ccf94165286</t>
  </si>
  <si>
    <t>Bagels</t>
  </si>
  <si>
    <t>685522f2a2fdbbb8dd6ef512</t>
  </si>
  <si>
    <t>Baharat Seasoning</t>
  </si>
  <si>
    <t>684806e2a8c459878382c5a7</t>
  </si>
  <si>
    <t>Bake Believe Milk Chocolate Baking Chips</t>
  </si>
  <si>
    <t>6597ed66ff026c56da975f3e</t>
  </si>
  <si>
    <t>Baked Beans</t>
  </si>
  <si>
    <t>66191335b8049ccf94165809</t>
  </si>
  <si>
    <t>Baked Beans (Canned)</t>
  </si>
  <si>
    <t>66191335b8049ccf94165808</t>
  </si>
  <si>
    <t>Baked Beans with Beef (Canned)</t>
  </si>
  <si>
    <t>Pork, Beef</t>
  </si>
  <si>
    <t>66191335b8049ccf94165823</t>
  </si>
  <si>
    <t>Baked Beans with Franks (Canned)</t>
  </si>
  <si>
    <t>66191335b8049ccf94165807</t>
  </si>
  <si>
    <t>Baked Beans with Pork (Canned)</t>
  </si>
  <si>
    <t>Alliums, Nightshades</t>
  </si>
  <si>
    <t>66191335b8049ccf94165806</t>
  </si>
  <si>
    <t>Baked Beans with Pork and Sweet Sauce (Canned)</t>
  </si>
  <si>
    <t>66191334b8049ccf94165805</t>
  </si>
  <si>
    <t>Baked Beans with Pork and Tomato Sauce (Canned)</t>
  </si>
  <si>
    <t>67320ad689b3bf49ae88d68b</t>
  </si>
  <si>
    <t>Baked Potatoes</t>
  </si>
  <si>
    <t>6619133eb8049ccf94165939</t>
  </si>
  <si>
    <t>Baked Refrigerated Dough Sugar Cookies</t>
  </si>
  <si>
    <t>6597ed65ff026c56da975ef9</t>
  </si>
  <si>
    <t>Baker's White Chocolate</t>
  </si>
  <si>
    <t>6771451c9ac20d85d8c759e3</t>
  </si>
  <si>
    <t>Bakers Delight Hi-Fibre Lo-GI White Block Loaf</t>
  </si>
  <si>
    <t>6619133eb8049ccf94165932</t>
  </si>
  <si>
    <t>Bakers Yeast</t>
  </si>
  <si>
    <t>67528fcc30baf48560ea8c4a</t>
  </si>
  <si>
    <t>Baking Apple</t>
  </si>
  <si>
    <t>67320ad689b3bf49ae88d656</t>
  </si>
  <si>
    <t>Baking Cocoa</t>
  </si>
  <si>
    <t>6597ed7fff026c56da976360</t>
  </si>
  <si>
    <t>Baking Powder</t>
  </si>
  <si>
    <t>66191316b8049ccf9416550e</t>
  </si>
  <si>
    <t>Baking Soda</t>
  </si>
  <si>
    <t>674698d024c0ced1e5915aba</t>
  </si>
  <si>
    <t>Balade Low Fat Halloumi</t>
  </si>
  <si>
    <t>684806e2a8c459878382c5a8</t>
  </si>
  <si>
    <t>Baladé Farms Greek Vanilla Yogurt</t>
  </si>
  <si>
    <t>684807b9a8c459878382c646</t>
  </si>
  <si>
    <t>Baladé Farms Labneh Low Fat</t>
  </si>
  <si>
    <t>684807b9a8c459878382c645</t>
  </si>
  <si>
    <t>Baladé Farms Labneh Original</t>
  </si>
  <si>
    <t>6597ed76ff026c56da9761b4</t>
  </si>
  <si>
    <t>Balm Mint</t>
  </si>
  <si>
    <t>66191313b8049ccf941654cf</t>
  </si>
  <si>
    <t>Balsam-Pear</t>
  </si>
  <si>
    <t>664723a7d7f2b6e4e782d673</t>
  </si>
  <si>
    <t>Balsamic Glaze</t>
  </si>
  <si>
    <t>6597ed6fff026c56da976070</t>
  </si>
  <si>
    <t>Balsamic Vinaigrette Dressing</t>
  </si>
  <si>
    <t>6597ed7fff026c56da976357</t>
  </si>
  <si>
    <t>Balsamic Vinegar</t>
  </si>
  <si>
    <t>6597ed7fff026c56da976355</t>
  </si>
  <si>
    <t>Balsamic Vinegar Of Modena</t>
  </si>
  <si>
    <t>66191313b8049ccf941654ce</t>
  </si>
  <si>
    <t>Bamboo Shoots</t>
  </si>
  <si>
    <t>66191313b8049ccf941654cd</t>
  </si>
  <si>
    <t>Bamboo Shoots (Drained Solids, Canned)</t>
  </si>
  <si>
    <t>6597ed6aff026c56da975fb8</t>
  </si>
  <si>
    <t>Banana</t>
  </si>
  <si>
    <t>6597ed69ff026c56da975fac</t>
  </si>
  <si>
    <t>Banana Bread</t>
  </si>
  <si>
    <t>6597ed69ff026c56da975fb2</t>
  </si>
  <si>
    <t>Banana Chip</t>
  </si>
  <si>
    <t>6597ed6aff026c56da975fc3</t>
  </si>
  <si>
    <t>Banana Extract</t>
  </si>
  <si>
    <t>6597ed6aff026c56da975fc2</t>
  </si>
  <si>
    <t>Banana Leaf</t>
  </si>
  <si>
    <t>6597ed6aff026c56da975fd1</t>
  </si>
  <si>
    <t>Banana Liqueur</t>
  </si>
  <si>
    <t>684806e2a8c459878382c5a9</t>
  </si>
  <si>
    <t>Banana Lolly</t>
  </si>
  <si>
    <t>66191313b8049ccf941654cc</t>
  </si>
  <si>
    <t>Banana Melon</t>
  </si>
  <si>
    <t>Melons</t>
  </si>
  <si>
    <t>6597ed73ff026c56da976123</t>
  </si>
  <si>
    <t>Banana Peppers</t>
  </si>
  <si>
    <t>66191313b8049ccf941654cb</t>
  </si>
  <si>
    <t>Banana Powder or Dehydrated Bananas</t>
  </si>
  <si>
    <t>6597ed71ff026c56da9760c3</t>
  </si>
  <si>
    <t>Banana Shallots</t>
  </si>
  <si>
    <t>6597ed70ff026c56da97609b</t>
  </si>
  <si>
    <t>Banana Squash</t>
  </si>
  <si>
    <t>67c1820973f218d0633dc583</t>
  </si>
  <si>
    <t>Banza Rotini Pasta</t>
  </si>
  <si>
    <t>685522f2a2fdbbb8dd6ef513</t>
  </si>
  <si>
    <t>Barbecue Chicken Kebabs</t>
  </si>
  <si>
    <t>66191305b8049ccf94165359</t>
  </si>
  <si>
    <t>Barbecue Flavor Corn Chips</t>
  </si>
  <si>
    <t>66191305b8049ccf94165358</t>
  </si>
  <si>
    <t>Barbecue Flavor Corn Puffs or Twists (Made with Enriched Masa Flour)</t>
  </si>
  <si>
    <t>66191319b8049ccf94165555</t>
  </si>
  <si>
    <t>Barbecue Flavor Cornnuts</t>
  </si>
  <si>
    <t>6619131db8049ccf941655bd</t>
  </si>
  <si>
    <t>Barbecue Flavor Pork Skins</t>
  </si>
  <si>
    <t>66191305b8049ccf94165357</t>
  </si>
  <si>
    <t>Barbecue Flavor Potato Chips</t>
  </si>
  <si>
    <t>685522f2a2fdbbb8dd6ef514</t>
  </si>
  <si>
    <t>Barbecue Roasted Chicken Breast</t>
  </si>
  <si>
    <t>6619132db8049ccf94165771</t>
  </si>
  <si>
    <t>Barbecue Sauce</t>
  </si>
  <si>
    <t>6619132db8049ccf94165770</t>
  </si>
  <si>
    <t>Barbeque Sauce (Low Sodium, Canned)</t>
  </si>
  <si>
    <t>66191338b8049ccf9416589b</t>
  </si>
  <si>
    <t>Barbera Wine</t>
  </si>
  <si>
    <t>684806e2a8c459878382c5aa</t>
  </si>
  <si>
    <t>Bare Bra Granola Hazelnut and Coconut</t>
  </si>
  <si>
    <t>685522f2a2fdbbb8dd6ef515</t>
  </si>
  <si>
    <t>Bare Performance Nutrition Whey Protein Powder Fudge Chocolate</t>
  </si>
  <si>
    <t>685522f2a2fdbbb8dd6ef517</t>
  </si>
  <si>
    <t>Barebells Caramel Cashew Protein Bar</t>
  </si>
  <si>
    <t>Dairy, Beef</t>
  </si>
  <si>
    <t>Peanuts, Tree Nuts</t>
  </si>
  <si>
    <t>67c1820973f218d0633dc585</t>
  </si>
  <si>
    <t>Barebells Cookies &amp; Caramel Protein Bar</t>
  </si>
  <si>
    <t>685522f2a2fdbbb8dd6ef516</t>
  </si>
  <si>
    <t>Barebells Peanut Butter Protein Bar</t>
  </si>
  <si>
    <t>685522f2a2fdbbb8dd6ef518</t>
  </si>
  <si>
    <t>Barilla Fusilli Pasta</t>
  </si>
  <si>
    <t>685522f2a2fdbbb8dd6ef519</t>
  </si>
  <si>
    <t>Barilla Protein Penne Pasta</t>
  </si>
  <si>
    <t>Wheat, Pasta Alternatives</t>
  </si>
  <si>
    <t>Beans, Lentils</t>
  </si>
  <si>
    <t>684806e2a8c459878382c5ab</t>
  </si>
  <si>
    <t>Barilla Vegan Basil Pesto</t>
  </si>
  <si>
    <t>Non-Dairy Cheese</t>
  </si>
  <si>
    <t>Dried Herbs &amp; Spices, Fresh Herbs</t>
  </si>
  <si>
    <t>66191328b8049ccf94165735</t>
  </si>
  <si>
    <t>Barley</t>
  </si>
  <si>
    <t>6619133eb8049ccf94165931</t>
  </si>
  <si>
    <t>Barley Flour or Meal</t>
  </si>
  <si>
    <t>6619133eb8049ccf94165930</t>
  </si>
  <si>
    <t>Barley Malt Flour</t>
  </si>
  <si>
    <t>67a2e5d1ba7dab10cef75d48</t>
  </si>
  <si>
    <t>Barley Porridge</t>
  </si>
  <si>
    <t>684806e2a8c459878382c5ac</t>
  </si>
  <si>
    <t>Barramundi Fillet</t>
  </si>
  <si>
    <t>6597ed63ff026c56da975edb</t>
  </si>
  <si>
    <t>Bartlett Pear</t>
  </si>
  <si>
    <t>67320ad689b3bf49ae88d657</t>
  </si>
  <si>
    <t>Basa Fillet</t>
  </si>
  <si>
    <t>66191327b8049ccf94165730</t>
  </si>
  <si>
    <t>Basil</t>
  </si>
  <si>
    <t>6597ed7fff026c56da976352</t>
  </si>
  <si>
    <t>Basil Infused Oil</t>
  </si>
  <si>
    <t>6597ed7fff026c56da97634f</t>
  </si>
  <si>
    <t>Basil Leaves</t>
  </si>
  <si>
    <t>6597ed7fff026c56da97634e</t>
  </si>
  <si>
    <t>Basil Pesto</t>
  </si>
  <si>
    <t>6597ed7fff026c56da97634c</t>
  </si>
  <si>
    <t>Basmati Rice</t>
  </si>
  <si>
    <t>67a2e5d1ba7dab10cef75d3e</t>
  </si>
  <si>
    <t>Baxters Caramelised Onion Relish</t>
  </si>
  <si>
    <t>684806e2a8c459878382c5ad</t>
  </si>
  <si>
    <t>Baxters Classic Tomato Chutney</t>
  </si>
  <si>
    <t>6597ed7fff026c56da976349</t>
  </si>
  <si>
    <t>Bay Leaf</t>
  </si>
  <si>
    <t>684807b9a8c459878382c64b</t>
  </si>
  <si>
    <t>Bazaar Lebanese Bread White</t>
  </si>
  <si>
    <t>664723a7d7f2b6e4e782d672</t>
  </si>
  <si>
    <t>Bbq Sauce</t>
  </si>
  <si>
    <t>66191313b8049ccf941654ca</t>
  </si>
  <si>
    <t>Bean Beverage</t>
  </si>
  <si>
    <t>6597ed64ff026c56da975eef</t>
  </si>
  <si>
    <t>Bean Curd</t>
  </si>
  <si>
    <t>6597ed64ff026c56da975eea</t>
  </si>
  <si>
    <t>Bean Curd Sheet</t>
  </si>
  <si>
    <t>6650a3e993df76df05c20313</t>
  </si>
  <si>
    <t>Bean Sprouts</t>
  </si>
  <si>
    <t>66191337b8049ccf9416586c</t>
  </si>
  <si>
    <t>Bean with Bacon Soup (Condensed)</t>
  </si>
  <si>
    <t>66191337b8049ccf9416586b</t>
  </si>
  <si>
    <t>Bean with Frankfurters Soup (Canned, Condensed)</t>
  </si>
  <si>
    <t>66191337b8049ccf9416586a</t>
  </si>
  <si>
    <t>Bean with Pork Soup (Canned, Condensed)</t>
  </si>
  <si>
    <t>66191327b8049ccf94165729</t>
  </si>
  <si>
    <t>6597ed63ff026c56da975ed7</t>
  </si>
  <si>
    <t>Beansprouts</t>
  </si>
  <si>
    <t>66191327b8049ccf94165725</t>
  </si>
  <si>
    <t>Bear Meat</t>
  </si>
  <si>
    <t>67c1820973f218d0633dc586</t>
  </si>
  <si>
    <t>Bear Naked Cacao &amp; Cashew Butter Granola</t>
  </si>
  <si>
    <t>6771451c9ac20d85d8c75a11</t>
  </si>
  <si>
    <t>Bear Naked Protein Granola</t>
  </si>
  <si>
    <t>Tree Nuts, Peanuts</t>
  </si>
  <si>
    <t>684807b9a8c459878382c655</t>
  </si>
  <si>
    <t>Bearnaise Sauce</t>
  </si>
  <si>
    <t>66191327b8049ccf94165724</t>
  </si>
  <si>
    <t>Beaver Meat</t>
  </si>
  <si>
    <t>6597ed80ff026c56da976385</t>
  </si>
  <si>
    <t>6597ed80ff026c56da976387</t>
  </si>
  <si>
    <t>Beef Base</t>
  </si>
  <si>
    <t>66191326b8049ccf941656f2</t>
  </si>
  <si>
    <t>Beef Bologna</t>
  </si>
  <si>
    <t>67320ad689b3bf49ae88d69d</t>
  </si>
  <si>
    <t>Beef Bone Broth</t>
  </si>
  <si>
    <t>6597ed80ff026c56da97637e</t>
  </si>
  <si>
    <t>Beef Bones</t>
  </si>
  <si>
    <t>66191326b8049ccf941656f1</t>
  </si>
  <si>
    <t>Beef Bottom Round</t>
  </si>
  <si>
    <t>66191326b8049ccf941656f0</t>
  </si>
  <si>
    <t>Beef Bottom Sirloin (Tri-Tip Roast)</t>
  </si>
  <si>
    <t>66191326b8049ccf941656ef</t>
  </si>
  <si>
    <t>Beef Bottom Sirloin Butt (Tri-Tip)</t>
  </si>
  <si>
    <t>6597ed7fff026c56da97634d</t>
  </si>
  <si>
    <t>Beef Bouillon Cubes</t>
  </si>
  <si>
    <t>66191326b8049ccf941656ee</t>
  </si>
  <si>
    <t>Beef Brain</t>
  </si>
  <si>
    <t>66191326b8049ccf941656ed</t>
  </si>
  <si>
    <t>Beef Breakfast Strips (Cured)</t>
  </si>
  <si>
    <t>6597ed7fff026c56da976346</t>
  </si>
  <si>
    <t>Beef Brisket</t>
  </si>
  <si>
    <t>66191326b8049ccf941656ec</t>
  </si>
  <si>
    <t>Beef Brisket (Flat Half)</t>
  </si>
  <si>
    <t>66191326b8049ccf941656eb</t>
  </si>
  <si>
    <t>Beef Brisket (Point Half)</t>
  </si>
  <si>
    <t>66191326b8049ccf941656ea</t>
  </si>
  <si>
    <t>Beef Brisket (Whole)</t>
  </si>
  <si>
    <t>6597ed80ff026c56da976382</t>
  </si>
  <si>
    <t>Beef Broth</t>
  </si>
  <si>
    <t>66191316b8049ccf9416550c</t>
  </si>
  <si>
    <t>Beef Broth Bouillon and Consomme (Canned, Condensed)</t>
  </si>
  <si>
    <t>66191316b8049ccf94165506</t>
  </si>
  <si>
    <t>Beef Broth Soup (Condensed, Canned)</t>
  </si>
  <si>
    <t>66191316b8049ccf9416550d</t>
  </si>
  <si>
    <t>Beef Broth and Tomato Juice (Canned)</t>
  </si>
  <si>
    <t>66191316b8049ccf94165507</t>
  </si>
  <si>
    <t>Beef Broth or Bouillon (Canned)</t>
  </si>
  <si>
    <t>66191326b8049ccf941656e9</t>
  </si>
  <si>
    <t>Beef Carcass (Choice Grade)</t>
  </si>
  <si>
    <t>66191326b8049ccf941656e8</t>
  </si>
  <si>
    <t>Beef Carcass (Select Grade)</t>
  </si>
  <si>
    <t>66191326b8049ccf941656e7</t>
  </si>
  <si>
    <t>Beef Chuck (Arm Pot Roast)</t>
  </si>
  <si>
    <t>66191326b8049ccf941656e6</t>
  </si>
  <si>
    <t>Beef Chuck (Blade Roast)</t>
  </si>
  <si>
    <t>66191326b8049ccf941656e5</t>
  </si>
  <si>
    <t>Beef Chuck (Cold Roast)</t>
  </si>
  <si>
    <t>66191325b8049ccf941656e4</t>
  </si>
  <si>
    <t>Beef Chuck (Cold Steak)</t>
  </si>
  <si>
    <t>66191325b8049ccf941656e3</t>
  </si>
  <si>
    <t>Beef Chuck (Mock Tender Steak)</t>
  </si>
  <si>
    <t>66191325b8049ccf941656e1</t>
  </si>
  <si>
    <t>Beef Chuck (Shoulder Clod, Top Blade Steak)</t>
  </si>
  <si>
    <t>66191325b8049ccf941656e2</t>
  </si>
  <si>
    <t>Beef Chuck (Shoulder Clod, Top and Center Steaks)</t>
  </si>
  <si>
    <t>66191325b8049ccf941656e0</t>
  </si>
  <si>
    <t>Beef Chuck (Shoulder Tender Medallion)</t>
  </si>
  <si>
    <t>66191325b8049ccf941656df</t>
  </si>
  <si>
    <t>Beef Chuck (Shoulder Top and Center Steaks)</t>
  </si>
  <si>
    <t>66191325b8049ccf941656de</t>
  </si>
  <si>
    <t>Beef Chuck (Top Blade)</t>
  </si>
  <si>
    <t>67320ad689b3bf49ae88d64b</t>
  </si>
  <si>
    <t>Beef Dripping</t>
  </si>
  <si>
    <t>66191325b8049ccf941656dd</t>
  </si>
  <si>
    <t>Beef Eye Of Round</t>
  </si>
  <si>
    <t>66191325b8049ccf941656dc</t>
  </si>
  <si>
    <t>Beef Fat</t>
  </si>
  <si>
    <t>66191325b8049ccf941656db</t>
  </si>
  <si>
    <t>Beef Flank</t>
  </si>
  <si>
    <t>667d2dbec8e7c631d03278c8</t>
  </si>
  <si>
    <t>Beef Flank Steak</t>
  </si>
  <si>
    <t>66191325b8049ccf941656da</t>
  </si>
  <si>
    <t>Beef Frankfurter</t>
  </si>
  <si>
    <t>66191325b8049ccf941656d9</t>
  </si>
  <si>
    <t>Beef Frankfurter (Heated)</t>
  </si>
  <si>
    <t>66191325b8049ccf941656d8</t>
  </si>
  <si>
    <t>Beef Frankfurter (Low Fat)</t>
  </si>
  <si>
    <t>6597ed80ff026c56da976381</t>
  </si>
  <si>
    <t>Beef Gravy</t>
  </si>
  <si>
    <t>66191335b8049ccf94165829</t>
  </si>
  <si>
    <t>Beef Gravy (Canned)</t>
  </si>
  <si>
    <t>66191325b8049ccf941656d7</t>
  </si>
  <si>
    <t>Beef Heart</t>
  </si>
  <si>
    <t>66191325b8049ccf941656d6</t>
  </si>
  <si>
    <t>Beef Inside Skirt Steak</t>
  </si>
  <si>
    <t>6597ed65ff026c56da975f0e</t>
  </si>
  <si>
    <t>Beef Jerky</t>
  </si>
  <si>
    <t>Beef, Fish</t>
  </si>
  <si>
    <t>66191325b8049ccf941656d5</t>
  </si>
  <si>
    <t>Beef Kidneys</t>
  </si>
  <si>
    <t>66191325b8049ccf941656d4</t>
  </si>
  <si>
    <t>Beef Knuckle (Tip Center, Steak)</t>
  </si>
  <si>
    <t>66191325b8049ccf941656d3</t>
  </si>
  <si>
    <t>Beef Knuckle (Tip Side, Steak)</t>
  </si>
  <si>
    <t>66191325b8049ccf941656d2</t>
  </si>
  <si>
    <t>Beef Liver</t>
  </si>
  <si>
    <t>66191327b8049ccf9416570e</t>
  </si>
  <si>
    <t>Beef Loaf Luncheon Meat</t>
  </si>
  <si>
    <t>Beef, Pork</t>
  </si>
  <si>
    <t>66191325b8049ccf941656d1</t>
  </si>
  <si>
    <t>Beef Luncheon Meat (Cured, Jellied)</t>
  </si>
  <si>
    <t>Dried Herbs &amp; Spices, Fresh Herbs, Spicy</t>
  </si>
  <si>
    <t>66191325b8049ccf941656d0</t>
  </si>
  <si>
    <t>Beef Lungs</t>
  </si>
  <si>
    <t>684806e2a8c459878382c5ae</t>
  </si>
  <si>
    <t>Beef Medallion Steak</t>
  </si>
  <si>
    <t>664723a1d7f2b6e4e782d56c</t>
  </si>
  <si>
    <t>Beef Mince</t>
  </si>
  <si>
    <t>685522f2a2fdbbb8dd6ef51a</t>
  </si>
  <si>
    <t>Beef Mince (20% Fat)</t>
  </si>
  <si>
    <t>66191337b8049ccf94165869</t>
  </si>
  <si>
    <t>Beef Mushroom Soup (Canned, Condensed)</t>
  </si>
  <si>
    <t>Mushrooms, Alliums</t>
  </si>
  <si>
    <t>66191337b8049ccf94165868</t>
  </si>
  <si>
    <t>Beef Mushroom Soup (with Equal Volume Water, Canned)</t>
  </si>
  <si>
    <t>66191337b8049ccf94165867</t>
  </si>
  <si>
    <t>Beef Noodle Soup (Canned, Condensed)</t>
  </si>
  <si>
    <t>66191325b8049ccf941656cf</t>
  </si>
  <si>
    <t>Beef Outside Round (Steak)</t>
  </si>
  <si>
    <t>66191325b8049ccf941656ce</t>
  </si>
  <si>
    <t>Beef Outside Skirt Steak</t>
  </si>
  <si>
    <t>66191325b8049ccf941656cd</t>
  </si>
  <si>
    <t>Beef Pancreas</t>
  </si>
  <si>
    <t>66191325b8049ccf941656cc</t>
  </si>
  <si>
    <t>Beef Pastrami</t>
  </si>
  <si>
    <t>66191325b8049ccf941656cb</t>
  </si>
  <si>
    <t>Beef Patties (100%, Frozen)</t>
  </si>
  <si>
    <t>66191325b8049ccf941656c9</t>
  </si>
  <si>
    <t>Beef Pork Berliner Sausage</t>
  </si>
  <si>
    <t>66191325b8049ccf941656c8</t>
  </si>
  <si>
    <t>Beef Pork Mortadella</t>
  </si>
  <si>
    <t>66191325b8049ccf941656c7</t>
  </si>
  <si>
    <t>Beef Pork Salami (Dry or Hard)</t>
  </si>
  <si>
    <t>66191325b8049ccf941656c6</t>
  </si>
  <si>
    <t>Beef Pork Salami (Less Sodium)</t>
  </si>
  <si>
    <t>66191325b8049ccf941656ca</t>
  </si>
  <si>
    <t>Beef Pork and Turkey Frankfurter (Fat-free)</t>
  </si>
  <si>
    <t>Pork, Turkey</t>
  </si>
  <si>
    <t>66191325b8049ccf941656c5</t>
  </si>
  <si>
    <t>Beef Porterhouse Steak</t>
  </si>
  <si>
    <t>66191325b8049ccf941656c4</t>
  </si>
  <si>
    <t>Beef Retail Cuts Composite</t>
  </si>
  <si>
    <t>66191325b8049ccf941656c3</t>
  </si>
  <si>
    <t>Beef Ribs (Large End)</t>
  </si>
  <si>
    <t>66191325b8049ccf941656c2</t>
  </si>
  <si>
    <t>Beef Ribs (Small End)</t>
  </si>
  <si>
    <t>66191325b8049ccf941656c1</t>
  </si>
  <si>
    <t>Beef Ribs (Whole)</t>
  </si>
  <si>
    <t>66191325b8049ccf941656c0</t>
  </si>
  <si>
    <t>Beef Round (Full Cut)</t>
  </si>
  <si>
    <t>66191325b8049ccf941656bf</t>
  </si>
  <si>
    <t>Beef Shank Crosscuts</t>
  </si>
  <si>
    <t>6597ed80ff026c56da976383</t>
  </si>
  <si>
    <t>Beef Shanks</t>
  </si>
  <si>
    <t>66191325b8049ccf941656be</t>
  </si>
  <si>
    <t>Beef Shortribs</t>
  </si>
  <si>
    <t>682c4ea3f2fdbf2cd0ac60eb</t>
  </si>
  <si>
    <t>Beef Sirloin Steak</t>
  </si>
  <si>
    <t>66191325b8049ccf941656bd</t>
  </si>
  <si>
    <t>Beef Spleen</t>
  </si>
  <si>
    <t>664723a7d7f2b6e4e782d671</t>
  </si>
  <si>
    <t>Beef Steak</t>
  </si>
  <si>
    <t>66191325b8049ccf941656bc</t>
  </si>
  <si>
    <t>Beef Stew Entree (Canned)</t>
  </si>
  <si>
    <t>Alliums, Mushrooms</t>
  </si>
  <si>
    <t>6597ed80ff026c56da976380</t>
  </si>
  <si>
    <t>Beef Stock</t>
  </si>
  <si>
    <t>66191316b8049ccf94165505</t>
  </si>
  <si>
    <t>Beef Stock (Home Prepared)</t>
  </si>
  <si>
    <t>6597ed7fff026c56da976347</t>
  </si>
  <si>
    <t>Beef Stock Powder</t>
  </si>
  <si>
    <t>6597ed80ff026c56da97637f</t>
  </si>
  <si>
    <t>Beef Suet</t>
  </si>
  <si>
    <t>66191324b8049ccf941656bb</t>
  </si>
  <si>
    <t>Beef T-Bone Steak</t>
  </si>
  <si>
    <t>66191324b8049ccf941656ba</t>
  </si>
  <si>
    <t>Beef Tallow (Fat)</t>
  </si>
  <si>
    <t>66191324b8049ccf941656b9</t>
  </si>
  <si>
    <t>Beef Tenderloin</t>
  </si>
  <si>
    <t>667d2dbedfd1c0976956c78d</t>
  </si>
  <si>
    <t>Beef Tenderloin Roast</t>
  </si>
  <si>
    <t>66191324b8049ccf941656b8</t>
  </si>
  <si>
    <t>Beef Thin-Sliced (Cured)</t>
  </si>
  <si>
    <t>66191324b8049ccf941656b7</t>
  </si>
  <si>
    <t>Beef Thymus</t>
  </si>
  <si>
    <t>66191324b8049ccf941656b6</t>
  </si>
  <si>
    <t>Beef Tip Round</t>
  </si>
  <si>
    <t>66191324b8049ccf941656b5</t>
  </si>
  <si>
    <t>Beef Tongue</t>
  </si>
  <si>
    <t>66191324b8049ccf941656b4</t>
  </si>
  <si>
    <t>Beef Top Loin</t>
  </si>
  <si>
    <t>66191324b8049ccf941656b3</t>
  </si>
  <si>
    <t>Beef Top Round</t>
  </si>
  <si>
    <t>66191324b8049ccf941656b2</t>
  </si>
  <si>
    <t>Beef Top Sirloin</t>
  </si>
  <si>
    <t>66191324b8049ccf941656b1</t>
  </si>
  <si>
    <t>Beef Tripe</t>
  </si>
  <si>
    <t>67a4343748ad24c4a120a672</t>
  </si>
  <si>
    <t>Beef Trotter</t>
  </si>
  <si>
    <t>66191337b8049ccf94165866</t>
  </si>
  <si>
    <t>Beef Vegetable Soup (Canned, Condensed)</t>
  </si>
  <si>
    <t>Wheat, Corn, Potatoes</t>
  </si>
  <si>
    <t>66191337b8049ccf94165865</t>
  </si>
  <si>
    <t>Beef Vegetable Soup (with Equal Volume Water, Canned)</t>
  </si>
  <si>
    <t>66191326b8049ccf941656f6</t>
  </si>
  <si>
    <t>Beef and Pork Bologna</t>
  </si>
  <si>
    <t>66191326b8049ccf941656f5</t>
  </si>
  <si>
    <t>Beef and Pork Bologna (Low Fat)</t>
  </si>
  <si>
    <t>66191326b8049ccf941656f4</t>
  </si>
  <si>
    <t>Beef and Pork Bratwurst (Smoked)</t>
  </si>
  <si>
    <t>66191326b8049ccf941656f3</t>
  </si>
  <si>
    <t>Beef and Pork Frankfurter</t>
  </si>
  <si>
    <t>66191337b8049ccf94165864</t>
  </si>
  <si>
    <t>Beef with Vegetables and Barley Soup (Condensed, Canned)</t>
  </si>
  <si>
    <t>66191324b8049ccf941656b0</t>
  </si>
  <si>
    <t>Beefalo Meat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</si>
</sst>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2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">
    <xf borderId="0" fillId="0" fontId="0" numFmtId="0" xfId="0" applyAlignment="1" applyFont="1">
      <alignment readingOrder="0" shrinkToFit="0" vertical="bottom" wrapText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>
      <c r="A2" s="1" t="s">
        <v>13</v>
      </c>
      <c r="C2" s="1" t="s">
        <v>14</v>
      </c>
      <c r="D2" s="1" t="s">
        <v>15</v>
      </c>
      <c r="E2" s="1" t="str">
        <f>IFERROR(__xludf.DUMMYFUNCTION("BYROW(F2:BC5766, LAMBDA(r, TEXTJOIN("", "", TRUE, FILTER(r, r&lt;&gt;""""))))"),"Dairy, Eggs, Dried Herbs &amp; Spices")</f>
        <v>Dairy, Eggs, Dried Herbs &amp; Spices</v>
      </c>
      <c r="F2" s="1" t="s">
        <v>16</v>
      </c>
      <c r="L2" s="1" t="s">
        <v>17</v>
      </c>
    </row>
    <row r="3">
      <c r="A3" s="1" t="s">
        <v>18</v>
      </c>
      <c r="C3" s="1" t="s">
        <v>19</v>
      </c>
      <c r="D3" s="1" t="s">
        <v>20</v>
      </c>
      <c r="E3" s="1" t="str">
        <f>IFERROR(__xludf.DUMMYFUNCTION("""COMPUTED_VALUE"""),"Dairy, Caffeine")</f>
        <v>Dairy, Caffeine</v>
      </c>
      <c r="F3" s="1" t="s">
        <v>21</v>
      </c>
      <c r="M3" s="1" t="s">
        <v>22</v>
      </c>
    </row>
    <row r="4">
      <c r="A4" s="1" t="s">
        <v>23</v>
      </c>
      <c r="C4" s="1" t="s">
        <v>19</v>
      </c>
      <c r="D4" s="1" t="s">
        <v>24</v>
      </c>
      <c r="E4" s="1" t="str">
        <f>IFERROR(__xludf.DUMMYFUNCTION("""COMPUTED_VALUE"""),"Dairy")</f>
        <v>Dairy</v>
      </c>
      <c r="F4" s="1" t="s">
        <v>21</v>
      </c>
    </row>
    <row r="5">
      <c r="A5" s="1" t="s">
        <v>25</v>
      </c>
      <c r="C5" s="1" t="s">
        <v>14</v>
      </c>
      <c r="D5" s="1" t="s">
        <v>26</v>
      </c>
      <c r="E5" s="1" t="str">
        <f>IFERROR(__xludf.DUMMYFUNCTION("""COMPUTED_VALUE"""),"Dairy")</f>
        <v>Dairy</v>
      </c>
      <c r="F5" s="1" t="s">
        <v>21</v>
      </c>
    </row>
    <row r="6">
      <c r="A6" s="1" t="s">
        <v>27</v>
      </c>
      <c r="C6" s="1" t="s">
        <v>14</v>
      </c>
      <c r="D6" s="1" t="s">
        <v>28</v>
      </c>
      <c r="E6" s="1" t="str">
        <f>IFERROR(__xludf.DUMMYFUNCTION("""COMPUTED_VALUE"""),"Dairy")</f>
        <v>Dairy</v>
      </c>
      <c r="F6" s="1" t="s">
        <v>21</v>
      </c>
    </row>
    <row r="7">
      <c r="A7" s="1" t="s">
        <v>29</v>
      </c>
      <c r="C7" s="1" t="s">
        <v>19</v>
      </c>
      <c r="D7" s="1" t="s">
        <v>30</v>
      </c>
      <c r="E7" s="1" t="str">
        <f>IFERROR(__xludf.DUMMYFUNCTION("""COMPUTED_VALUE"""),"Dairy, Wheat")</f>
        <v>Dairy, Wheat</v>
      </c>
      <c r="F7" s="1" t="s">
        <v>21</v>
      </c>
      <c r="H7" s="1" t="s">
        <v>31</v>
      </c>
    </row>
    <row r="8">
      <c r="A8" s="1" t="s">
        <v>32</v>
      </c>
      <c r="C8" s="1" t="s">
        <v>14</v>
      </c>
      <c r="D8" s="1" t="s">
        <v>33</v>
      </c>
      <c r="E8" s="1" t="str">
        <f>IFERROR(__xludf.DUMMYFUNCTION("""COMPUTED_VALUE"""),"Dairy, Fish, Chicken, Eggs, Caffeine")</f>
        <v>Dairy, Fish, Chicken, Eggs, Caffeine</v>
      </c>
      <c r="F8" s="1" t="s">
        <v>34</v>
      </c>
      <c r="M8" s="1" t="s">
        <v>22</v>
      </c>
    </row>
    <row r="9">
      <c r="A9" s="1" t="s">
        <v>35</v>
      </c>
      <c r="C9" s="1" t="s">
        <v>14</v>
      </c>
      <c r="D9" s="1" t="s">
        <v>36</v>
      </c>
      <c r="E9" s="1" t="str">
        <f>IFERROR(__xludf.DUMMYFUNCTION("""COMPUTED_VALUE"""),"Dairy, Peanuts, Soy, Caffeine")</f>
        <v>Dairy, Peanuts, Soy, Caffeine</v>
      </c>
      <c r="F9" s="1" t="s">
        <v>21</v>
      </c>
      <c r="I9" s="1" t="s">
        <v>37</v>
      </c>
      <c r="M9" s="1" t="s">
        <v>22</v>
      </c>
    </row>
    <row r="10">
      <c r="A10" s="1" t="s">
        <v>38</v>
      </c>
      <c r="C10" s="1" t="s">
        <v>14</v>
      </c>
      <c r="D10" s="1" t="s">
        <v>39</v>
      </c>
      <c r="E10" s="1" t="str">
        <f>IFERROR(__xludf.DUMMYFUNCTION("""COMPUTED_VALUE"""),"Dairy, Eggs, Wheat, Soy, Berries")</f>
        <v>Dairy, Eggs, Wheat, Soy, Berries</v>
      </c>
      <c r="F10" s="1" t="s">
        <v>16</v>
      </c>
      <c r="H10" s="1" t="s">
        <v>31</v>
      </c>
      <c r="I10" s="1" t="s">
        <v>40</v>
      </c>
      <c r="K10" s="1" t="s">
        <v>41</v>
      </c>
    </row>
    <row r="11">
      <c r="A11" s="1" t="s">
        <v>42</v>
      </c>
      <c r="C11" s="1" t="s">
        <v>14</v>
      </c>
      <c r="D11" s="1" t="s">
        <v>43</v>
      </c>
      <c r="E11" s="1" t="str">
        <f>IFERROR(__xludf.DUMMYFUNCTION("""COMPUTED_VALUE"""),"Dairy, Eggs, Wheat, Soy, Sweeteners")</f>
        <v>Dairy, Eggs, Wheat, Soy, Sweeteners</v>
      </c>
      <c r="F11" s="1" t="s">
        <v>16</v>
      </c>
      <c r="H11" s="1" t="s">
        <v>31</v>
      </c>
      <c r="I11" s="1" t="s">
        <v>40</v>
      </c>
      <c r="M11" s="1" t="s">
        <v>44</v>
      </c>
    </row>
    <row r="12">
      <c r="A12" s="1" t="s">
        <v>45</v>
      </c>
      <c r="C12" s="1" t="s">
        <v>14</v>
      </c>
      <c r="D12" s="1" t="s">
        <v>46</v>
      </c>
      <c r="E12" s="1" t="str">
        <f>IFERROR(__xludf.DUMMYFUNCTION("""COMPUTED_VALUE"""),"Dairy, Soy, Tropical Fruits, Caffeine, Sweeteners")</f>
        <v>Dairy, Soy, Tropical Fruits, Caffeine, Sweeteners</v>
      </c>
      <c r="F12" s="1" t="s">
        <v>21</v>
      </c>
      <c r="I12" s="1" t="s">
        <v>40</v>
      </c>
      <c r="K12" s="1" t="s">
        <v>47</v>
      </c>
      <c r="M12" s="1" t="s">
        <v>48</v>
      </c>
    </row>
    <row r="13">
      <c r="A13" s="1" t="s">
        <v>49</v>
      </c>
      <c r="C13" s="1" t="s">
        <v>14</v>
      </c>
      <c r="D13" s="1" t="s">
        <v>50</v>
      </c>
      <c r="E13" s="1" t="str">
        <f>IFERROR(__xludf.DUMMYFUNCTION("""COMPUTED_VALUE"""),"Dairy, Soy, Spicy, Sweeteners")</f>
        <v>Dairy, Soy, Spicy, Sweeteners</v>
      </c>
      <c r="F13" s="1" t="s">
        <v>21</v>
      </c>
      <c r="I13" s="1" t="s">
        <v>40</v>
      </c>
      <c r="L13" s="1" t="s">
        <v>51</v>
      </c>
      <c r="M13" s="1" t="s">
        <v>44</v>
      </c>
    </row>
    <row r="14">
      <c r="A14" s="1" t="s">
        <v>52</v>
      </c>
      <c r="C14" s="1" t="s">
        <v>14</v>
      </c>
      <c r="D14" s="1" t="s">
        <v>53</v>
      </c>
      <c r="E14" s="1" t="str">
        <f>IFERROR(__xludf.DUMMYFUNCTION("""COMPUTED_VALUE"""),"Dairy, Soy, Sweeteners, Caffeine")</f>
        <v>Dairy, Soy, Sweeteners, Caffeine</v>
      </c>
      <c r="F14" s="1" t="s">
        <v>21</v>
      </c>
      <c r="I14" s="1" t="s">
        <v>40</v>
      </c>
      <c r="M14" s="1" t="s">
        <v>54</v>
      </c>
    </row>
    <row r="15">
      <c r="A15" s="1" t="s">
        <v>55</v>
      </c>
      <c r="C15" s="1" t="s">
        <v>14</v>
      </c>
      <c r="D15" s="1" t="s">
        <v>56</v>
      </c>
      <c r="E15" s="1" t="str">
        <f>IFERROR(__xludf.DUMMYFUNCTION("""COMPUTED_VALUE"""),"Dairy, Wheat, Soy, Sweeteners")</f>
        <v>Dairy, Wheat, Soy, Sweeteners</v>
      </c>
      <c r="F15" s="1" t="s">
        <v>21</v>
      </c>
      <c r="H15" s="1" t="s">
        <v>31</v>
      </c>
      <c r="I15" s="1" t="s">
        <v>40</v>
      </c>
      <c r="M15" s="1" t="s">
        <v>44</v>
      </c>
    </row>
    <row r="16">
      <c r="A16" s="1" t="s">
        <v>57</v>
      </c>
      <c r="C16" s="1" t="s">
        <v>14</v>
      </c>
      <c r="D16" s="1" t="s">
        <v>58</v>
      </c>
      <c r="E16" s="1" t="str">
        <f>IFERROR(__xludf.DUMMYFUNCTION("""COMPUTED_VALUE"""),"Dairy, Eggs, Wheat, Soy, Caffeine, Sweeteners")</f>
        <v>Dairy, Eggs, Wheat, Soy, Caffeine, Sweeteners</v>
      </c>
      <c r="F16" s="1" t="s">
        <v>16</v>
      </c>
      <c r="H16" s="1" t="s">
        <v>31</v>
      </c>
      <c r="I16" s="1" t="s">
        <v>40</v>
      </c>
      <c r="M16" s="1" t="s">
        <v>48</v>
      </c>
    </row>
    <row r="17">
      <c r="A17" s="1" t="s">
        <v>59</v>
      </c>
      <c r="C17" s="1" t="s">
        <v>14</v>
      </c>
      <c r="D17" s="1" t="s">
        <v>60</v>
      </c>
      <c r="E17" s="1" t="str">
        <f>IFERROR(__xludf.DUMMYFUNCTION("""COMPUTED_VALUE"""),"Dairy, Soy, Dried Herbs &amp; Spices, Sweeteners")</f>
        <v>Dairy, Soy, Dried Herbs &amp; Spices, Sweeteners</v>
      </c>
      <c r="F17" s="1" t="s">
        <v>21</v>
      </c>
      <c r="I17" s="1" t="s">
        <v>40</v>
      </c>
      <c r="L17" s="1" t="s">
        <v>17</v>
      </c>
      <c r="M17" s="1" t="s">
        <v>44</v>
      </c>
    </row>
    <row r="18">
      <c r="A18" s="1" t="s">
        <v>61</v>
      </c>
      <c r="C18" s="1" t="s">
        <v>14</v>
      </c>
      <c r="D18" s="1" t="s">
        <v>62</v>
      </c>
      <c r="E18" s="1" t="str">
        <f>IFERROR(__xludf.DUMMYFUNCTION("""COMPUTED_VALUE"""),"Dairy, Soy, Berries, Sweeteners")</f>
        <v>Dairy, Soy, Berries, Sweeteners</v>
      </c>
      <c r="F18" s="1" t="s">
        <v>21</v>
      </c>
      <c r="I18" s="1" t="s">
        <v>40</v>
      </c>
      <c r="K18" s="1" t="s">
        <v>41</v>
      </c>
      <c r="M18" s="1" t="s">
        <v>44</v>
      </c>
    </row>
    <row r="19">
      <c r="A19" s="1" t="s">
        <v>63</v>
      </c>
      <c r="C19" s="1" t="s">
        <v>14</v>
      </c>
      <c r="D19" s="1" t="s">
        <v>64</v>
      </c>
      <c r="E19" s="1" t="str">
        <f>IFERROR(__xludf.DUMMYFUNCTION("""COMPUTED_VALUE"""),"Dairy, Soy, Sweeteners")</f>
        <v>Dairy, Soy, Sweeteners</v>
      </c>
      <c r="F19" s="1" t="s">
        <v>21</v>
      </c>
      <c r="I19" s="1" t="s">
        <v>40</v>
      </c>
      <c r="M19" s="1" t="s">
        <v>44</v>
      </c>
    </row>
    <row r="20">
      <c r="A20" s="1" t="s">
        <v>65</v>
      </c>
      <c r="C20" s="1" t="s">
        <v>14</v>
      </c>
      <c r="D20" s="1" t="s">
        <v>66</v>
      </c>
      <c r="E20" s="1" t="str">
        <f>IFERROR(__xludf.DUMMYFUNCTION("""COMPUTED_VALUE"""),"Leafy Greens, Cruciferous")</f>
        <v>Leafy Greens, Cruciferous</v>
      </c>
      <c r="J20" s="1" t="s">
        <v>67</v>
      </c>
    </row>
    <row r="21" ht="15.75" customHeight="1">
      <c r="A21" s="1" t="s">
        <v>68</v>
      </c>
      <c r="C21" s="1" t="s">
        <v>14</v>
      </c>
      <c r="D21" s="1" t="s">
        <v>69</v>
      </c>
      <c r="E21" s="1" t="str">
        <f>IFERROR(__xludf.DUMMYFUNCTION("""COMPUTED_VALUE"""),"Soy, Cruciferous, Nightshades, Berries, Tropical Fruits, Dried Herbs &amp; Spices, Caffeine")</f>
        <v>Soy, Cruciferous, Nightshades, Berries, Tropical Fruits, Dried Herbs &amp; Spices, Caffeine</v>
      </c>
      <c r="I21" s="1" t="s">
        <v>40</v>
      </c>
      <c r="J21" s="1" t="s">
        <v>70</v>
      </c>
      <c r="K21" s="1" t="s">
        <v>71</v>
      </c>
      <c r="L21" s="1" t="s">
        <v>17</v>
      </c>
      <c r="M21" s="1" t="s">
        <v>22</v>
      </c>
    </row>
    <row r="22" ht="15.75" customHeight="1">
      <c r="A22" s="1" t="s">
        <v>72</v>
      </c>
      <c r="C22" s="1" t="s">
        <v>14</v>
      </c>
      <c r="D22" s="1" t="s">
        <v>73</v>
      </c>
      <c r="E22" s="1" t="str">
        <f>IFERROR(__xludf.DUMMYFUNCTION("""COMPUTED_VALUE"""),"Dairy, Sweeteners")</f>
        <v>Dairy, Sweeteners</v>
      </c>
      <c r="F22" s="1" t="s">
        <v>21</v>
      </c>
      <c r="M22" s="1" t="s">
        <v>44</v>
      </c>
    </row>
    <row r="23" ht="15.75" customHeight="1">
      <c r="A23" s="1" t="s">
        <v>74</v>
      </c>
      <c r="C23" s="1" t="s">
        <v>14</v>
      </c>
      <c r="D23" s="1" t="s">
        <v>75</v>
      </c>
      <c r="E23" s="1" t="str">
        <f>IFERROR(__xludf.DUMMYFUNCTION("""COMPUTED_VALUE"""),"Dairy, Caffeine, Sweeteners")</f>
        <v>Dairy, Caffeine, Sweeteners</v>
      </c>
      <c r="F23" s="1" t="s">
        <v>21</v>
      </c>
      <c r="M23" s="1" t="s">
        <v>48</v>
      </c>
    </row>
    <row r="24" ht="15.75" customHeight="1">
      <c r="A24" s="1" t="s">
        <v>76</v>
      </c>
      <c r="C24" s="1" t="s">
        <v>14</v>
      </c>
      <c r="D24" s="1" t="s">
        <v>77</v>
      </c>
      <c r="E24" s="1" t="str">
        <f>IFERROR(__xludf.DUMMYFUNCTION("""COMPUTED_VALUE"""),"Dairy, Tropical Fruits, Sweeteners")</f>
        <v>Dairy, Tropical Fruits, Sweeteners</v>
      </c>
      <c r="F24" s="1" t="s">
        <v>21</v>
      </c>
      <c r="K24" s="1" t="s">
        <v>47</v>
      </c>
      <c r="M24" s="1" t="s">
        <v>44</v>
      </c>
    </row>
    <row r="25" ht="15.75" customHeight="1">
      <c r="A25" s="1" t="s">
        <v>78</v>
      </c>
      <c r="C25" s="1" t="s">
        <v>14</v>
      </c>
      <c r="D25" s="1" t="s">
        <v>79</v>
      </c>
      <c r="E25" s="1" t="str">
        <f>IFERROR(__xludf.DUMMYFUNCTION("""COMPUTED_VALUE"""),"Gluten-Free Grains, Beans, Lentils, Tree Nuts, Berries, Sweeteners, Caffeine")</f>
        <v>Gluten-Free Grains, Beans, Lentils, Tree Nuts, Berries, Sweeteners, Caffeine</v>
      </c>
      <c r="H25" s="1" t="s">
        <v>80</v>
      </c>
      <c r="I25" s="1" t="s">
        <v>81</v>
      </c>
      <c r="K25" s="1" t="s">
        <v>41</v>
      </c>
      <c r="M25" s="1" t="s">
        <v>54</v>
      </c>
    </row>
    <row r="26" ht="15.75" customHeight="1">
      <c r="A26" s="1" t="s">
        <v>82</v>
      </c>
      <c r="C26" s="1" t="s">
        <v>19</v>
      </c>
      <c r="D26" s="1" t="s">
        <v>83</v>
      </c>
      <c r="E26" s="1" t="str">
        <f>IFERROR(__xludf.DUMMYFUNCTION("""COMPUTED_VALUE"""),"Dairy")</f>
        <v>Dairy</v>
      </c>
      <c r="F26" s="1" t="s">
        <v>21</v>
      </c>
    </row>
    <row r="27" ht="15.75" customHeight="1">
      <c r="A27" s="1" t="s">
        <v>84</v>
      </c>
      <c r="C27" s="1" t="s">
        <v>14</v>
      </c>
      <c r="D27" s="1" t="s">
        <v>85</v>
      </c>
      <c r="E27" s="1" t="str">
        <f>IFERROR(__xludf.DUMMYFUNCTION("""COMPUTED_VALUE"""),"Tree Nuts, Sweeteners, Caffeine")</f>
        <v>Tree Nuts, Sweeteners, Caffeine</v>
      </c>
      <c r="I27" s="1" t="s">
        <v>86</v>
      </c>
      <c r="M27" s="1" t="s">
        <v>54</v>
      </c>
    </row>
    <row r="28" ht="15.75" customHeight="1">
      <c r="A28" s="1" t="s">
        <v>87</v>
      </c>
      <c r="C28" s="1" t="s">
        <v>19</v>
      </c>
      <c r="D28" s="1" t="s">
        <v>88</v>
      </c>
      <c r="E28" s="1" t="str">
        <f>IFERROR(__xludf.DUMMYFUNCTION("""COMPUTED_VALUE"""),"Tree Nuts, Sweeteners, Caffeine")</f>
        <v>Tree Nuts, Sweeteners, Caffeine</v>
      </c>
      <c r="I28" s="1" t="s">
        <v>86</v>
      </c>
      <c r="M28" s="1" t="s">
        <v>54</v>
      </c>
    </row>
    <row r="29" ht="15.75" customHeight="1">
      <c r="A29" s="1" t="s">
        <v>89</v>
      </c>
      <c r="C29" s="1" t="s">
        <v>19</v>
      </c>
      <c r="D29" s="1" t="s">
        <v>90</v>
      </c>
      <c r="E29" s="1" t="str">
        <f>IFERROR(__xludf.DUMMYFUNCTION("""COMPUTED_VALUE"""),"Beef")</f>
        <v>Beef</v>
      </c>
      <c r="F29" s="1" t="s">
        <v>91</v>
      </c>
    </row>
    <row r="30" ht="15.75" customHeight="1">
      <c r="A30" s="1" t="s">
        <v>92</v>
      </c>
      <c r="C30" s="1" t="s">
        <v>14</v>
      </c>
      <c r="D30" s="1" t="s">
        <v>93</v>
      </c>
      <c r="E30" s="1" t="str">
        <f>IFERROR(__xludf.DUMMYFUNCTION("""COMPUTED_VALUE"""),"Tree Nuts, Sweeteners, Caffeine")</f>
        <v>Tree Nuts, Sweeteners, Caffeine</v>
      </c>
      <c r="I30" s="1" t="s">
        <v>86</v>
      </c>
      <c r="M30" s="1" t="s">
        <v>54</v>
      </c>
    </row>
    <row r="31" ht="15.75" customHeight="1">
      <c r="A31" s="1" t="s">
        <v>94</v>
      </c>
      <c r="C31" s="1" t="s">
        <v>19</v>
      </c>
      <c r="D31" s="1" t="s">
        <v>95</v>
      </c>
      <c r="E31" s="1" t="str">
        <f>IFERROR(__xludf.DUMMYFUNCTION("""COMPUTED_VALUE"""),"Beef")</f>
        <v>Beef</v>
      </c>
      <c r="F31" s="1" t="s">
        <v>91</v>
      </c>
    </row>
    <row r="32" ht="15.75" customHeight="1">
      <c r="A32" s="1" t="s">
        <v>96</v>
      </c>
      <c r="C32" s="1" t="s">
        <v>14</v>
      </c>
      <c r="D32" s="1" t="s">
        <v>97</v>
      </c>
      <c r="E32" s="1" t="str">
        <f>IFERROR(__xludf.DUMMYFUNCTION("""COMPUTED_VALUE"""),"Turkey")</f>
        <v>Turkey</v>
      </c>
      <c r="F32" s="1" t="s">
        <v>98</v>
      </c>
    </row>
    <row r="33" ht="15.75" customHeight="1">
      <c r="A33" s="1" t="s">
        <v>99</v>
      </c>
      <c r="C33" s="1" t="s">
        <v>19</v>
      </c>
      <c r="D33" s="1" t="s">
        <v>100</v>
      </c>
      <c r="E33" s="1" t="str">
        <f>IFERROR(__xludf.DUMMYFUNCTION("""COMPUTED_VALUE"""),"Beef")</f>
        <v>Beef</v>
      </c>
      <c r="F33" s="1" t="s">
        <v>91</v>
      </c>
    </row>
    <row r="34" ht="15.75" customHeight="1">
      <c r="A34" s="1" t="s">
        <v>101</v>
      </c>
      <c r="C34" s="1" t="s">
        <v>19</v>
      </c>
      <c r="D34" s="1" t="s">
        <v>102</v>
      </c>
      <c r="E34" s="1" t="str">
        <f>IFERROR(__xludf.DUMMYFUNCTION("""COMPUTED_VALUE"""),"Chicken")</f>
        <v>Chicken</v>
      </c>
      <c r="F34" s="1" t="s">
        <v>103</v>
      </c>
    </row>
    <row r="35" ht="15.75" customHeight="1">
      <c r="A35" s="1" t="s">
        <v>104</v>
      </c>
      <c r="C35" s="1" t="s">
        <v>19</v>
      </c>
      <c r="D35" s="1" t="s">
        <v>105</v>
      </c>
      <c r="E35" s="1" t="str">
        <f>IFERROR(__xludf.DUMMYFUNCTION("""COMPUTED_VALUE"""),"Beef")</f>
        <v>Beef</v>
      </c>
      <c r="F35" s="1" t="s">
        <v>91</v>
      </c>
    </row>
    <row r="36" ht="15.75" customHeight="1">
      <c r="A36" s="1" t="s">
        <v>106</v>
      </c>
      <c r="C36" s="1" t="s">
        <v>19</v>
      </c>
      <c r="D36" s="1" t="s">
        <v>107</v>
      </c>
      <c r="E36" s="1" t="str">
        <f>IFERROR(__xludf.DUMMYFUNCTION("""COMPUTED_VALUE"""),"Turkey")</f>
        <v>Turkey</v>
      </c>
      <c r="F36" s="1" t="s">
        <v>98</v>
      </c>
    </row>
    <row r="37" ht="15.75" customHeight="1">
      <c r="A37" s="1" t="s">
        <v>108</v>
      </c>
      <c r="C37" s="1" t="s">
        <v>14</v>
      </c>
      <c r="D37" s="1" t="s">
        <v>109</v>
      </c>
      <c r="E37" s="1" t="str">
        <f>IFERROR(__xludf.DUMMYFUNCTION("""COMPUTED_VALUE"""),"Sweeteners")</f>
        <v>Sweeteners</v>
      </c>
      <c r="M37" s="1" t="s">
        <v>44</v>
      </c>
    </row>
    <row r="38" ht="15.75" customHeight="1">
      <c r="A38" s="1" t="s">
        <v>110</v>
      </c>
      <c r="C38" s="1" t="s">
        <v>19</v>
      </c>
      <c r="D38" s="1" t="s">
        <v>111</v>
      </c>
      <c r="E38" s="1" t="str">
        <f>IFERROR(__xludf.DUMMYFUNCTION("""COMPUTED_VALUE"""),"Dairy, Chicken, Wheat, Corn, Soy, Dried Herbs &amp; Spices")</f>
        <v>Dairy, Chicken, Wheat, Corn, Soy, Dried Herbs &amp; Spices</v>
      </c>
      <c r="F38" s="1" t="s">
        <v>112</v>
      </c>
      <c r="H38" s="1" t="s">
        <v>113</v>
      </c>
      <c r="I38" s="1" t="s">
        <v>40</v>
      </c>
      <c r="L38" s="1" t="s">
        <v>17</v>
      </c>
    </row>
    <row r="39" ht="15.75" customHeight="1">
      <c r="A39" s="1" t="s">
        <v>114</v>
      </c>
      <c r="C39" s="1" t="s">
        <v>14</v>
      </c>
      <c r="D39" s="1" t="s">
        <v>115</v>
      </c>
      <c r="E39" s="1" t="str">
        <f>IFERROR(__xludf.DUMMYFUNCTION("""COMPUTED_VALUE"""),"Dairy, Sweeteners")</f>
        <v>Dairy, Sweeteners</v>
      </c>
      <c r="F39" s="1" t="s">
        <v>21</v>
      </c>
      <c r="M39" s="1" t="s">
        <v>44</v>
      </c>
    </row>
    <row r="40" ht="15.75" customHeight="1">
      <c r="A40" s="1" t="s">
        <v>116</v>
      </c>
      <c r="C40" s="1" t="s">
        <v>14</v>
      </c>
      <c r="D40" s="1" t="s">
        <v>117</v>
      </c>
      <c r="E40" s="1" t="str">
        <f>IFERROR(__xludf.DUMMYFUNCTION("""COMPUTED_VALUE"""),"Dairy")</f>
        <v>Dairy</v>
      </c>
      <c r="F40" s="1" t="s">
        <v>21</v>
      </c>
    </row>
    <row r="41" ht="15.75" customHeight="1">
      <c r="A41" s="1" t="s">
        <v>118</v>
      </c>
      <c r="C41" s="1" t="s">
        <v>14</v>
      </c>
      <c r="D41" s="1" t="s">
        <v>119</v>
      </c>
      <c r="E41" s="1" t="str">
        <f>IFERROR(__xludf.DUMMYFUNCTION("""COMPUTED_VALUE"""),"Wheat, Soy, Sweeteners")</f>
        <v>Wheat, Soy, Sweeteners</v>
      </c>
      <c r="H41" s="1" t="s">
        <v>31</v>
      </c>
      <c r="I41" s="1" t="s">
        <v>40</v>
      </c>
      <c r="M41" s="1" t="s">
        <v>44</v>
      </c>
    </row>
    <row r="42" ht="15.75" customHeight="1">
      <c r="A42" s="1" t="s">
        <v>120</v>
      </c>
      <c r="C42" s="1" t="s">
        <v>14</v>
      </c>
      <c r="D42" s="1" t="s">
        <v>121</v>
      </c>
      <c r="E42" s="1" t="str">
        <f>IFERROR(__xludf.DUMMYFUNCTION("""COMPUTED_VALUE"""),"Leafy Greens, Cruciferous")</f>
        <v>Leafy Greens, Cruciferous</v>
      </c>
      <c r="J42" s="1" t="s">
        <v>67</v>
      </c>
    </row>
    <row r="43" ht="15.75" customHeight="1">
      <c r="A43" s="1" t="s">
        <v>122</v>
      </c>
      <c r="C43" s="1" t="s">
        <v>14</v>
      </c>
      <c r="D43" s="1" t="s">
        <v>123</v>
      </c>
      <c r="E43" s="1" t="str">
        <f>IFERROR(__xludf.DUMMYFUNCTION("""COMPUTED_VALUE"""),"Tree Nuts, Sweeteners")</f>
        <v>Tree Nuts, Sweeteners</v>
      </c>
      <c r="I43" s="1" t="s">
        <v>86</v>
      </c>
      <c r="M43" s="1" t="s">
        <v>44</v>
      </c>
    </row>
    <row r="44" ht="15.75" customHeight="1">
      <c r="A44" s="1" t="s">
        <v>124</v>
      </c>
      <c r="C44" s="1" t="s">
        <v>14</v>
      </c>
      <c r="D44" s="1" t="s">
        <v>125</v>
      </c>
      <c r="E44" s="1" t="str">
        <f>IFERROR(__xludf.DUMMYFUNCTION("""COMPUTED_VALUE"""),"Alliums")</f>
        <v>Alliums</v>
      </c>
      <c r="J44" s="1" t="s">
        <v>126</v>
      </c>
    </row>
    <row r="45" ht="15.75" customHeight="1">
      <c r="A45" s="1" t="s">
        <v>127</v>
      </c>
      <c r="C45" s="1" t="s">
        <v>14</v>
      </c>
      <c r="D45" s="1" t="s">
        <v>128</v>
      </c>
      <c r="E45" s="1" t="str">
        <f>IFERROR(__xludf.DUMMYFUNCTION("""COMPUTED_VALUE"""),"Wheat, Soy")</f>
        <v>Wheat, Soy</v>
      </c>
      <c r="H45" s="1" t="s">
        <v>31</v>
      </c>
      <c r="I45" s="1" t="s">
        <v>40</v>
      </c>
    </row>
    <row r="46" ht="15.75" customHeight="1">
      <c r="A46" s="1" t="s">
        <v>129</v>
      </c>
      <c r="C46" s="1" t="s">
        <v>14</v>
      </c>
      <c r="D46" s="1" t="s">
        <v>130</v>
      </c>
      <c r="E46" s="1" t="str">
        <f>IFERROR(__xludf.DUMMYFUNCTION("""COMPUTED_VALUE"""),"Sweeteners")</f>
        <v>Sweeteners</v>
      </c>
      <c r="M46" s="1" t="s">
        <v>44</v>
      </c>
    </row>
    <row r="47" ht="15.75" customHeight="1">
      <c r="A47" s="1" t="s">
        <v>131</v>
      </c>
      <c r="C47" s="1" t="s">
        <v>14</v>
      </c>
      <c r="D47" s="1" t="s">
        <v>132</v>
      </c>
      <c r="E47" s="1" t="str">
        <f>IFERROR(__xludf.DUMMYFUNCTION("""COMPUTED_VALUE"""),"Gluten-Free Grains")</f>
        <v>Gluten-Free Grains</v>
      </c>
      <c r="H47" s="1" t="s">
        <v>80</v>
      </c>
    </row>
    <row r="48" ht="15.75" customHeight="1">
      <c r="A48" s="1" t="s">
        <v>133</v>
      </c>
      <c r="C48" s="1" t="s">
        <v>19</v>
      </c>
      <c r="D48" s="1" t="s">
        <v>134</v>
      </c>
      <c r="E48" s="1" t="str">
        <f>IFERROR(__xludf.DUMMYFUNCTION("""COMPUTED_VALUE"""),"Shellfish")</f>
        <v>Shellfish</v>
      </c>
      <c r="F48" s="1" t="s">
        <v>135</v>
      </c>
    </row>
    <row r="49" ht="15.75" customHeight="1">
      <c r="A49" s="1" t="s">
        <v>136</v>
      </c>
      <c r="C49" s="1" t="s">
        <v>14</v>
      </c>
      <c r="D49" s="1" t="s">
        <v>137</v>
      </c>
      <c r="E49" s="1" t="str">
        <f>IFERROR(__xludf.DUMMYFUNCTION("""COMPUTED_VALUE"""),"Eggs, Gluten-Free Grains, Soy")</f>
        <v>Eggs, Gluten-Free Grains, Soy</v>
      </c>
      <c r="F49" s="1" t="s">
        <v>138</v>
      </c>
      <c r="H49" s="1" t="s">
        <v>80</v>
      </c>
      <c r="I49" s="1" t="s">
        <v>40</v>
      </c>
    </row>
    <row r="50" ht="15.75" customHeight="1">
      <c r="A50" s="1" t="s">
        <v>139</v>
      </c>
      <c r="C50" s="1" t="s">
        <v>14</v>
      </c>
      <c r="D50" s="1" t="s">
        <v>140</v>
      </c>
      <c r="E50" s="1" t="str">
        <f>IFERROR(__xludf.DUMMYFUNCTION("""COMPUTED_VALUE"""),"Wheat, Soy")</f>
        <v>Wheat, Soy</v>
      </c>
      <c r="H50" s="1" t="s">
        <v>31</v>
      </c>
      <c r="I50" s="1" t="s">
        <v>40</v>
      </c>
    </row>
    <row r="51" ht="15.75" customHeight="1">
      <c r="A51" s="1" t="s">
        <v>141</v>
      </c>
      <c r="C51" s="1" t="s">
        <v>14</v>
      </c>
      <c r="D51" s="1" t="s">
        <v>142</v>
      </c>
      <c r="E51" s="1" t="str">
        <f>IFERROR(__xludf.DUMMYFUNCTION("""COMPUTED_VALUE"""),"Wheat")</f>
        <v>Wheat</v>
      </c>
      <c r="H51" s="1" t="s">
        <v>31</v>
      </c>
    </row>
    <row r="52" ht="15.75" customHeight="1">
      <c r="A52" s="1" t="s">
        <v>143</v>
      </c>
      <c r="C52" s="1" t="s">
        <v>14</v>
      </c>
      <c r="D52" s="1" t="s">
        <v>144</v>
      </c>
      <c r="E52" s="1" t="str">
        <f>IFERROR(__xludf.DUMMYFUNCTION("""COMPUTED_VALUE"""),"Wheat")</f>
        <v>Wheat</v>
      </c>
      <c r="H52" s="1" t="s">
        <v>31</v>
      </c>
    </row>
    <row r="53" ht="15.75" customHeight="1">
      <c r="A53" s="1" t="s">
        <v>145</v>
      </c>
      <c r="C53" s="1" t="s">
        <v>14</v>
      </c>
      <c r="D53" s="1" t="s">
        <v>146</v>
      </c>
      <c r="E53" s="1" t="str">
        <f>IFERROR(__xludf.DUMMYFUNCTION("""COMPUTED_VALUE"""),"Wheat, Gluten-Free Grains, Corn, Soy")</f>
        <v>Wheat, Gluten-Free Grains, Corn, Soy</v>
      </c>
      <c r="H53" s="1" t="s">
        <v>147</v>
      </c>
      <c r="I53" s="1" t="s">
        <v>40</v>
      </c>
    </row>
    <row r="54" ht="15.75" customHeight="1">
      <c r="A54" s="1" t="s">
        <v>148</v>
      </c>
      <c r="C54" s="1" t="s">
        <v>14</v>
      </c>
      <c r="D54" s="1" t="s">
        <v>149</v>
      </c>
      <c r="E54" s="1" t="str">
        <f>IFERROR(__xludf.DUMMYFUNCTION("""COMPUTED_VALUE"""),"Wheat, Gluten-Free Grains, Corn, Soy")</f>
        <v>Wheat, Gluten-Free Grains, Corn, Soy</v>
      </c>
      <c r="H54" s="1" t="s">
        <v>147</v>
      </c>
      <c r="I54" s="1" t="s">
        <v>40</v>
      </c>
    </row>
    <row r="55" ht="15.75" customHeight="1">
      <c r="A55" s="1" t="s">
        <v>150</v>
      </c>
      <c r="C55" s="1" t="s">
        <v>19</v>
      </c>
      <c r="D55" s="1" t="s">
        <v>151</v>
      </c>
      <c r="E55" s="1" t="str">
        <f>IFERROR(__xludf.DUMMYFUNCTION("""COMPUTED_VALUE"""),"Others")</f>
        <v>Others</v>
      </c>
      <c r="N55" s="1" t="s">
        <v>12</v>
      </c>
    </row>
    <row r="56" ht="15.75" customHeight="1">
      <c r="A56" s="1" t="s">
        <v>152</v>
      </c>
      <c r="C56" s="1" t="s">
        <v>14</v>
      </c>
      <c r="D56" s="1" t="s">
        <v>153</v>
      </c>
      <c r="E56" s="1" t="str">
        <f>IFERROR(__xludf.DUMMYFUNCTION("""COMPUTED_VALUE"""),"Sweeteners")</f>
        <v>Sweeteners</v>
      </c>
      <c r="M56" s="1" t="s">
        <v>44</v>
      </c>
    </row>
    <row r="57" ht="15.75" customHeight="1">
      <c r="A57" s="1" t="s">
        <v>154</v>
      </c>
      <c r="C57" s="1" t="s">
        <v>19</v>
      </c>
      <c r="D57" s="1" t="s">
        <v>155</v>
      </c>
      <c r="E57" s="1" t="str">
        <f>IFERROR(__xludf.DUMMYFUNCTION("""COMPUTED_VALUE"""),"Tree Nuts, Citrus")</f>
        <v>Tree Nuts, Citrus</v>
      </c>
      <c r="I57" s="1" t="s">
        <v>86</v>
      </c>
      <c r="K57" s="1" t="s">
        <v>156</v>
      </c>
    </row>
    <row r="58" ht="15.75" customHeight="1">
      <c r="A58" s="1" t="s">
        <v>157</v>
      </c>
      <c r="C58" s="1" t="s">
        <v>19</v>
      </c>
      <c r="D58" s="1" t="s">
        <v>158</v>
      </c>
      <c r="E58" s="1" t="str">
        <f>IFERROR(__xludf.DUMMYFUNCTION("""COMPUTED_VALUE"""),"Sweeteners")</f>
        <v>Sweeteners</v>
      </c>
      <c r="M58" s="1" t="s">
        <v>44</v>
      </c>
    </row>
    <row r="59" ht="15.75" customHeight="1">
      <c r="A59" s="1" t="s">
        <v>159</v>
      </c>
      <c r="C59" s="1" t="s">
        <v>19</v>
      </c>
      <c r="D59" s="1" t="s">
        <v>160</v>
      </c>
      <c r="E59" s="1" t="str">
        <f>IFERROR(__xludf.DUMMYFUNCTION("""COMPUTED_VALUE"""),"Corn")</f>
        <v>Corn</v>
      </c>
      <c r="H59" s="1" t="s">
        <v>161</v>
      </c>
    </row>
    <row r="60" ht="15.75" customHeight="1">
      <c r="A60" s="1" t="s">
        <v>162</v>
      </c>
      <c r="C60" s="1" t="s">
        <v>19</v>
      </c>
      <c r="D60" s="1" t="s">
        <v>163</v>
      </c>
      <c r="E60" s="1" t="str">
        <f>IFERROR(__xludf.DUMMYFUNCTION("""COMPUTED_VALUE"""),"Dairy, Alliums, Spicy")</f>
        <v>Dairy, Alliums, Spicy</v>
      </c>
      <c r="F60" s="1" t="s">
        <v>21</v>
      </c>
      <c r="J60" s="1" t="s">
        <v>126</v>
      </c>
      <c r="L60" s="1" t="s">
        <v>51</v>
      </c>
    </row>
    <row r="61" ht="15.75" customHeight="1">
      <c r="A61" s="1" t="s">
        <v>164</v>
      </c>
      <c r="C61" s="1" t="s">
        <v>19</v>
      </c>
      <c r="D61" s="1" t="s">
        <v>165</v>
      </c>
      <c r="E61" s="1" t="str">
        <f>IFERROR(__xludf.DUMMYFUNCTION("""COMPUTED_VALUE"""),"Other")</f>
        <v>Other</v>
      </c>
      <c r="N61" s="1" t="s">
        <v>166</v>
      </c>
    </row>
    <row r="62" ht="15.75" customHeight="1">
      <c r="A62" s="1" t="s">
        <v>167</v>
      </c>
      <c r="C62" s="1" t="s">
        <v>19</v>
      </c>
      <c r="D62" s="1" t="s">
        <v>168</v>
      </c>
      <c r="E62" s="1" t="str">
        <f>IFERROR(__xludf.DUMMYFUNCTION("""COMPUTED_VALUE"""),"Sweeteners")</f>
        <v>Sweeteners</v>
      </c>
      <c r="M62" s="1" t="s">
        <v>44</v>
      </c>
    </row>
    <row r="63" ht="15.75" customHeight="1">
      <c r="A63" s="1" t="s">
        <v>169</v>
      </c>
      <c r="C63" s="1" t="s">
        <v>19</v>
      </c>
      <c r="D63" s="1" t="s">
        <v>170</v>
      </c>
      <c r="E63" s="1" t="str">
        <f>IFERROR(__xludf.DUMMYFUNCTION("""COMPUTED_VALUE"""),"Tree Nuts")</f>
        <v>Tree Nuts</v>
      </c>
      <c r="I63" s="1" t="s">
        <v>86</v>
      </c>
    </row>
    <row r="64" ht="15.75" customHeight="1">
      <c r="A64" s="1" t="s">
        <v>171</v>
      </c>
      <c r="C64" s="1" t="s">
        <v>19</v>
      </c>
      <c r="D64" s="1" t="s">
        <v>172</v>
      </c>
      <c r="E64" s="1" t="str">
        <f>IFERROR(__xludf.DUMMYFUNCTION("""COMPUTED_VALUE"""),"Alliums, Spicy")</f>
        <v>Alliums, Spicy</v>
      </c>
      <c r="J64" s="1" t="s">
        <v>126</v>
      </c>
      <c r="L64" s="1" t="s">
        <v>51</v>
      </c>
    </row>
    <row r="65" ht="15.75" customHeight="1">
      <c r="A65" s="1" t="s">
        <v>173</v>
      </c>
      <c r="C65" s="1" t="s">
        <v>19</v>
      </c>
      <c r="D65" s="1" t="s">
        <v>174</v>
      </c>
      <c r="E65" s="1" t="str">
        <f>IFERROR(__xludf.DUMMYFUNCTION("""COMPUTED_VALUE"""),"Beans")</f>
        <v>Beans</v>
      </c>
      <c r="I65" s="1" t="s">
        <v>175</v>
      </c>
    </row>
    <row r="66" ht="15.75" customHeight="1">
      <c r="A66" s="1" t="s">
        <v>176</v>
      </c>
      <c r="C66" s="1" t="s">
        <v>19</v>
      </c>
      <c r="D66" s="1" t="s">
        <v>177</v>
      </c>
      <c r="E66" s="1" t="str">
        <f>IFERROR(__xludf.DUMMYFUNCTION("""COMPUTED_VALUE"""),"Beans")</f>
        <v>Beans</v>
      </c>
      <c r="I66" s="1" t="s">
        <v>175</v>
      </c>
    </row>
    <row r="67" ht="15.75" customHeight="1">
      <c r="A67" s="1" t="s">
        <v>178</v>
      </c>
      <c r="C67" s="1" t="s">
        <v>19</v>
      </c>
      <c r="D67" s="1" t="s">
        <v>179</v>
      </c>
      <c r="E67" s="1" t="str">
        <f>IFERROR(__xludf.DUMMYFUNCTION("""COMPUTED_VALUE"""),"Beans")</f>
        <v>Beans</v>
      </c>
      <c r="I67" s="1" t="s">
        <v>175</v>
      </c>
    </row>
    <row r="68" ht="15.75" customHeight="1">
      <c r="A68" s="1" t="s">
        <v>180</v>
      </c>
      <c r="C68" s="1" t="s">
        <v>14</v>
      </c>
      <c r="D68" s="1" t="s">
        <v>181</v>
      </c>
      <c r="E68" s="1" t="str">
        <f>IFERROR(__xludf.DUMMYFUNCTION("""COMPUTED_VALUE"""),"Beef, Sweeteners")</f>
        <v>Beef, Sweeteners</v>
      </c>
      <c r="F68" s="1" t="s">
        <v>91</v>
      </c>
      <c r="M68" s="1" t="s">
        <v>44</v>
      </c>
    </row>
    <row r="69" ht="15.75" customHeight="1">
      <c r="A69" s="1" t="s">
        <v>182</v>
      </c>
      <c r="C69" s="1" t="s">
        <v>14</v>
      </c>
      <c r="D69" s="1" t="s">
        <v>183</v>
      </c>
      <c r="E69" s="1" t="str">
        <f>IFERROR(__xludf.DUMMYFUNCTION("""COMPUTED_VALUE"""),"Beef, Sweeteners")</f>
        <v>Beef, Sweeteners</v>
      </c>
      <c r="F69" s="1" t="s">
        <v>91</v>
      </c>
      <c r="M69" s="1" t="s">
        <v>44</v>
      </c>
    </row>
    <row r="70" ht="15.75" customHeight="1">
      <c r="A70" s="1" t="s">
        <v>184</v>
      </c>
      <c r="C70" s="1" t="s">
        <v>14</v>
      </c>
      <c r="D70" s="1" t="s">
        <v>185</v>
      </c>
      <c r="E70" s="1" t="str">
        <f>IFERROR(__xludf.DUMMYFUNCTION("""COMPUTED_VALUE"""),"Beef, Sweeteners")</f>
        <v>Beef, Sweeteners</v>
      </c>
      <c r="F70" s="1" t="s">
        <v>91</v>
      </c>
      <c r="M70" s="1" t="s">
        <v>44</v>
      </c>
    </row>
    <row r="71" ht="15.75" customHeight="1">
      <c r="A71" s="1" t="s">
        <v>186</v>
      </c>
      <c r="C71" s="1" t="s">
        <v>14</v>
      </c>
      <c r="D71" s="1" t="s">
        <v>187</v>
      </c>
      <c r="E71" s="1" t="str">
        <f>IFERROR(__xludf.DUMMYFUNCTION("""COMPUTED_VALUE"""),"Beef, Sweeteners")</f>
        <v>Beef, Sweeteners</v>
      </c>
      <c r="F71" s="1" t="s">
        <v>91</v>
      </c>
      <c r="M71" s="1" t="s">
        <v>44</v>
      </c>
    </row>
    <row r="72" ht="15.75" customHeight="1">
      <c r="A72" s="1" t="s">
        <v>188</v>
      </c>
      <c r="C72" s="1" t="s">
        <v>19</v>
      </c>
      <c r="D72" s="1" t="s">
        <v>189</v>
      </c>
      <c r="E72" s="1" t="str">
        <f>IFERROR(__xludf.DUMMYFUNCTION("""COMPUTED_VALUE"""),"Others")</f>
        <v>Others</v>
      </c>
      <c r="N72" s="1" t="s">
        <v>12</v>
      </c>
    </row>
    <row r="73" ht="15.75" customHeight="1">
      <c r="A73" s="1" t="s">
        <v>190</v>
      </c>
      <c r="C73" s="1" t="s">
        <v>19</v>
      </c>
      <c r="D73" s="1" t="s">
        <v>191</v>
      </c>
      <c r="E73" s="1" t="str">
        <f>IFERROR(__xludf.DUMMYFUNCTION("""COMPUTED_VALUE"""),"Sweeteners")</f>
        <v>Sweeteners</v>
      </c>
      <c r="M73" s="1" t="s">
        <v>44</v>
      </c>
    </row>
    <row r="74" ht="15.75" customHeight="1">
      <c r="A74" s="1" t="s">
        <v>192</v>
      </c>
      <c r="C74" s="1" t="s">
        <v>19</v>
      </c>
      <c r="D74" s="1" t="s">
        <v>193</v>
      </c>
      <c r="E74" s="1" t="str">
        <f>IFERROR(__xludf.DUMMYFUNCTION("""COMPUTED_VALUE"""),"Sweeteners")</f>
        <v>Sweeteners</v>
      </c>
      <c r="M74" s="1" t="s">
        <v>44</v>
      </c>
    </row>
    <row r="75" ht="15.75" customHeight="1">
      <c r="A75" s="1" t="s">
        <v>194</v>
      </c>
      <c r="C75" s="1" t="s">
        <v>19</v>
      </c>
      <c r="D75" s="1" t="s">
        <v>195</v>
      </c>
      <c r="E75" s="1" t="str">
        <f>IFERROR(__xludf.DUMMYFUNCTION("""COMPUTED_VALUE"""),"Sweeteners")</f>
        <v>Sweeteners</v>
      </c>
      <c r="M75" s="1" t="s">
        <v>44</v>
      </c>
    </row>
    <row r="76" ht="15.75" customHeight="1">
      <c r="A76" s="1" t="s">
        <v>196</v>
      </c>
      <c r="C76" s="1" t="s">
        <v>19</v>
      </c>
      <c r="D76" s="1" t="s">
        <v>197</v>
      </c>
      <c r="E76" s="1" t="str">
        <f>IFERROR(__xludf.DUMMYFUNCTION("""COMPUTED_VALUE"""),"Fish")</f>
        <v>Fish</v>
      </c>
      <c r="F76" s="1" t="s">
        <v>198</v>
      </c>
    </row>
    <row r="77" ht="15.75" customHeight="1">
      <c r="A77" s="1" t="s">
        <v>199</v>
      </c>
      <c r="C77" s="1" t="s">
        <v>19</v>
      </c>
      <c r="D77" s="1" t="s">
        <v>200</v>
      </c>
      <c r="E77" s="1" t="str">
        <f>IFERROR(__xludf.DUMMYFUNCTION("""COMPUTED_VALUE"""),"Fish")</f>
        <v>Fish</v>
      </c>
      <c r="F77" s="1" t="s">
        <v>198</v>
      </c>
    </row>
    <row r="78" ht="15.75" customHeight="1">
      <c r="A78" s="1" t="s">
        <v>201</v>
      </c>
      <c r="C78" s="1" t="s">
        <v>14</v>
      </c>
      <c r="D78" s="1" t="s">
        <v>202</v>
      </c>
      <c r="E78" s="1" t="str">
        <f>IFERROR(__xludf.DUMMYFUNCTION("""COMPUTED_VALUE"""),"Eggs, Dairy, Alliums, Fresh Herbs, Spicy")</f>
        <v>Eggs, Dairy, Alliums, Fresh Herbs, Spicy</v>
      </c>
      <c r="F78" s="1" t="s">
        <v>203</v>
      </c>
      <c r="J78" s="1" t="s">
        <v>126</v>
      </c>
      <c r="L78" s="1" t="s">
        <v>204</v>
      </c>
    </row>
    <row r="79" ht="15.75" customHeight="1">
      <c r="A79" s="1" t="s">
        <v>205</v>
      </c>
      <c r="C79" s="1" t="s">
        <v>14</v>
      </c>
      <c r="D79" s="1" t="s">
        <v>206</v>
      </c>
      <c r="E79" s="1" t="str">
        <f>IFERROR(__xludf.DUMMYFUNCTION("""COMPUTED_VALUE"""),"Potatoes, Corn, Other")</f>
        <v>Potatoes, Corn, Other</v>
      </c>
      <c r="H79" s="1" t="s">
        <v>207</v>
      </c>
      <c r="N79" s="1" t="s">
        <v>166</v>
      </c>
    </row>
    <row r="80" ht="15.75" customHeight="1">
      <c r="A80" s="1" t="s">
        <v>208</v>
      </c>
      <c r="C80" s="1" t="s">
        <v>19</v>
      </c>
      <c r="D80" s="1" t="s">
        <v>209</v>
      </c>
      <c r="E80" s="1" t="str">
        <f>IFERROR(__xludf.DUMMYFUNCTION("""COMPUTED_VALUE"""),"Shellfish")</f>
        <v>Shellfish</v>
      </c>
      <c r="F80" s="1" t="s">
        <v>135</v>
      </c>
    </row>
    <row r="81" ht="15.75" customHeight="1">
      <c r="A81" s="1" t="s">
        <v>210</v>
      </c>
      <c r="C81" s="1" t="s">
        <v>19</v>
      </c>
      <c r="D81" s="1" t="s">
        <v>211</v>
      </c>
      <c r="E81" s="1" t="str">
        <f>IFERROR(__xludf.DUMMYFUNCTION("""COMPUTED_VALUE"""),"Fish")</f>
        <v>Fish</v>
      </c>
      <c r="F81" s="1" t="s">
        <v>198</v>
      </c>
    </row>
    <row r="82" ht="15.75" customHeight="1">
      <c r="A82" s="1" t="s">
        <v>212</v>
      </c>
      <c r="C82" s="1" t="s">
        <v>19</v>
      </c>
      <c r="D82" s="1" t="s">
        <v>213</v>
      </c>
      <c r="E82" s="1" t="str">
        <f>IFERROR(__xludf.DUMMYFUNCTION("""COMPUTED_VALUE"""),"Alcohol")</f>
        <v>Alcohol</v>
      </c>
      <c r="M82" s="1" t="s">
        <v>213</v>
      </c>
    </row>
    <row r="83" ht="15.75" customHeight="1">
      <c r="A83" s="1" t="s">
        <v>214</v>
      </c>
      <c r="C83" s="1" t="s">
        <v>14</v>
      </c>
      <c r="D83" s="1" t="s">
        <v>215</v>
      </c>
      <c r="E83" s="1" t="str">
        <f>IFERROR(__xludf.DUMMYFUNCTION("""COMPUTED_VALUE"""),"Wheat")</f>
        <v>Wheat</v>
      </c>
      <c r="H83" s="1" t="s">
        <v>31</v>
      </c>
    </row>
    <row r="84" ht="15.75" customHeight="1">
      <c r="A84" s="1" t="s">
        <v>216</v>
      </c>
      <c r="C84" s="1" t="s">
        <v>14</v>
      </c>
      <c r="D84" s="1" t="s">
        <v>217</v>
      </c>
      <c r="E84" s="1" t="str">
        <f>IFERROR(__xludf.DUMMYFUNCTION("""COMPUTED_VALUE"""),"Eggs, Dairy, Wheat, Sweeteners, Other")</f>
        <v>Eggs, Dairy, Wheat, Sweeteners, Other</v>
      </c>
      <c r="F84" s="1" t="s">
        <v>203</v>
      </c>
      <c r="H84" s="1" t="s">
        <v>31</v>
      </c>
      <c r="M84" s="1" t="s">
        <v>44</v>
      </c>
      <c r="N84" s="1" t="s">
        <v>166</v>
      </c>
    </row>
    <row r="85" ht="15.75" customHeight="1">
      <c r="A85" s="1" t="s">
        <v>218</v>
      </c>
      <c r="C85" s="1" t="s">
        <v>19</v>
      </c>
      <c r="D85" s="1" t="s">
        <v>219</v>
      </c>
      <c r="E85" s="1" t="str">
        <f>IFERROR(__xludf.DUMMYFUNCTION("""COMPUTED_VALUE"""),"Chicken, Spicy, Sweeteners, Other")</f>
        <v>Chicken, Spicy, Sweeteners, Other</v>
      </c>
      <c r="F85" s="1" t="s">
        <v>103</v>
      </c>
      <c r="L85" s="1" t="s">
        <v>51</v>
      </c>
      <c r="M85" s="1" t="s">
        <v>44</v>
      </c>
      <c r="N85" s="1" t="s">
        <v>166</v>
      </c>
    </row>
    <row r="86" ht="15.75" customHeight="1">
      <c r="A86" s="1" t="s">
        <v>220</v>
      </c>
      <c r="C86" s="1" t="s">
        <v>14</v>
      </c>
      <c r="D86" s="1" t="s">
        <v>221</v>
      </c>
      <c r="E86" s="1" t="str">
        <f>IFERROR(__xludf.DUMMYFUNCTION("""COMPUTED_VALUE"""),"Potatoes, Dried Herbs &amp; Spices, Sweeteners")</f>
        <v>Potatoes, Dried Herbs &amp; Spices, Sweeteners</v>
      </c>
      <c r="H86" s="1" t="s">
        <v>222</v>
      </c>
      <c r="L86" s="1" t="s">
        <v>17</v>
      </c>
      <c r="M86" s="1" t="s">
        <v>44</v>
      </c>
    </row>
    <row r="87" ht="15.75" customHeight="1">
      <c r="A87" s="1" t="s">
        <v>223</v>
      </c>
      <c r="C87" s="1" t="s">
        <v>14</v>
      </c>
      <c r="D87" s="1" t="s">
        <v>224</v>
      </c>
      <c r="E87" s="1" t="str">
        <f>IFERROR(__xludf.DUMMYFUNCTION("""COMPUTED_VALUE"""),"Eggs, Dairy, Sweeteners, Other")</f>
        <v>Eggs, Dairy, Sweeteners, Other</v>
      </c>
      <c r="F87" s="1" t="s">
        <v>203</v>
      </c>
      <c r="M87" s="1" t="s">
        <v>44</v>
      </c>
      <c r="N87" s="1" t="s">
        <v>166</v>
      </c>
    </row>
    <row r="88" ht="15.75" customHeight="1">
      <c r="A88" s="1" t="s">
        <v>225</v>
      </c>
      <c r="C88" s="1" t="s">
        <v>14</v>
      </c>
      <c r="D88" s="1" t="s">
        <v>226</v>
      </c>
      <c r="E88" s="1" t="str">
        <f>IFERROR(__xludf.DUMMYFUNCTION("""COMPUTED_VALUE"""),"Soy, Other")</f>
        <v>Soy, Other</v>
      </c>
      <c r="I88" s="1" t="s">
        <v>40</v>
      </c>
      <c r="N88" s="1" t="s">
        <v>166</v>
      </c>
    </row>
    <row r="89" ht="15.75" customHeight="1">
      <c r="A89" s="1" t="s">
        <v>227</v>
      </c>
      <c r="C89" s="1" t="s">
        <v>14</v>
      </c>
      <c r="D89" s="1" t="s">
        <v>228</v>
      </c>
      <c r="E89" s="1" t="str">
        <f>IFERROR(__xludf.DUMMYFUNCTION("""COMPUTED_VALUE"""),"Beef, Alliums, Sweeteners, Other")</f>
        <v>Beef, Alliums, Sweeteners, Other</v>
      </c>
      <c r="F89" s="1" t="s">
        <v>91</v>
      </c>
      <c r="J89" s="1" t="s">
        <v>126</v>
      </c>
      <c r="M89" s="1" t="s">
        <v>44</v>
      </c>
      <c r="N89" s="1" t="s">
        <v>166</v>
      </c>
    </row>
    <row r="90" ht="15.75" customHeight="1">
      <c r="A90" s="1" t="s">
        <v>229</v>
      </c>
      <c r="C90" s="1" t="s">
        <v>14</v>
      </c>
      <c r="D90" s="1" t="s">
        <v>230</v>
      </c>
      <c r="E90" s="1" t="str">
        <f>IFERROR(__xludf.DUMMYFUNCTION("""COMPUTED_VALUE"""),"Shellfish")</f>
        <v>Shellfish</v>
      </c>
      <c r="F90" s="1" t="s">
        <v>135</v>
      </c>
    </row>
    <row r="91" ht="15.75" customHeight="1">
      <c r="A91" s="1" t="s">
        <v>231</v>
      </c>
      <c r="C91" s="1" t="s">
        <v>14</v>
      </c>
      <c r="D91" s="1" t="s">
        <v>232</v>
      </c>
      <c r="E91" s="1" t="str">
        <f>IFERROR(__xludf.DUMMYFUNCTION("""COMPUTED_VALUE"""),"Wheat, Other")</f>
        <v>Wheat, Other</v>
      </c>
      <c r="H91" s="1" t="s">
        <v>31</v>
      </c>
      <c r="N91" s="1" t="s">
        <v>166</v>
      </c>
    </row>
    <row r="92" ht="15.75" customHeight="1">
      <c r="A92" s="1" t="s">
        <v>233</v>
      </c>
      <c r="C92" s="1" t="s">
        <v>14</v>
      </c>
      <c r="D92" s="1" t="s">
        <v>234</v>
      </c>
      <c r="E92" s="1" t="str">
        <f>IFERROR(__xludf.DUMMYFUNCTION("""COMPUTED_VALUE"""),"Cruciferous, Sweeteners, Other")</f>
        <v>Cruciferous, Sweeteners, Other</v>
      </c>
      <c r="J92" s="1" t="s">
        <v>235</v>
      </c>
      <c r="M92" s="1" t="s">
        <v>44</v>
      </c>
      <c r="N92" s="1" t="s">
        <v>166</v>
      </c>
    </row>
    <row r="93" ht="15.75" customHeight="1">
      <c r="A93" s="1" t="s">
        <v>236</v>
      </c>
      <c r="C93" s="1" t="s">
        <v>14</v>
      </c>
      <c r="D93" s="1" t="s">
        <v>237</v>
      </c>
      <c r="E93" s="1" t="str">
        <f>IFERROR(__xludf.DUMMYFUNCTION("""COMPUTED_VALUE"""),"Dairy")</f>
        <v>Dairy</v>
      </c>
      <c r="F93" s="1" t="s">
        <v>21</v>
      </c>
    </row>
    <row r="94" ht="15.75" customHeight="1">
      <c r="A94" s="1" t="s">
        <v>238</v>
      </c>
      <c r="C94" s="1" t="s">
        <v>19</v>
      </c>
      <c r="D94" s="1" t="s">
        <v>239</v>
      </c>
      <c r="E94" s="1" t="str">
        <f>IFERROR(__xludf.DUMMYFUNCTION("""COMPUTED_VALUE"""),"Other")</f>
        <v>Other</v>
      </c>
      <c r="N94" s="1" t="s">
        <v>166</v>
      </c>
    </row>
    <row r="95" ht="15.75" customHeight="1">
      <c r="A95" s="1" t="s">
        <v>240</v>
      </c>
      <c r="C95" s="1" t="s">
        <v>19</v>
      </c>
      <c r="D95" s="1" t="s">
        <v>241</v>
      </c>
      <c r="E95" s="1" t="str">
        <f>IFERROR(__xludf.DUMMYFUNCTION("""COMPUTED_VALUE"""),"Dairy, Alliums, Sweeteners, Other")</f>
        <v>Dairy, Alliums, Sweeteners, Other</v>
      </c>
      <c r="F95" s="1" t="s">
        <v>21</v>
      </c>
      <c r="J95" s="1" t="s">
        <v>126</v>
      </c>
      <c r="M95" s="1" t="s">
        <v>44</v>
      </c>
      <c r="N95" s="1" t="s">
        <v>166</v>
      </c>
    </row>
    <row r="96" ht="15.75" customHeight="1">
      <c r="A96" s="1" t="s">
        <v>242</v>
      </c>
      <c r="C96" s="1" t="s">
        <v>14</v>
      </c>
      <c r="D96" s="1" t="s">
        <v>243</v>
      </c>
      <c r="E96" s="1" t="str">
        <f>IFERROR(__xludf.DUMMYFUNCTION("""COMPUTED_VALUE"""),"Chicken, Alliums, Sweeteners, Other")</f>
        <v>Chicken, Alliums, Sweeteners, Other</v>
      </c>
      <c r="F96" s="1" t="s">
        <v>103</v>
      </c>
      <c r="J96" s="1" t="s">
        <v>126</v>
      </c>
      <c r="M96" s="1" t="s">
        <v>44</v>
      </c>
      <c r="N96" s="1" t="s">
        <v>166</v>
      </c>
    </row>
    <row r="97" ht="15.75" customHeight="1">
      <c r="A97" s="1" t="s">
        <v>244</v>
      </c>
      <c r="C97" s="1" t="s">
        <v>14</v>
      </c>
      <c r="D97" s="1" t="s">
        <v>245</v>
      </c>
      <c r="E97" s="1" t="str">
        <f>IFERROR(__xludf.DUMMYFUNCTION("""COMPUTED_VALUE"""),"Dairy, Eggs, Wheat, Sweeteners, Other")</f>
        <v>Dairy, Eggs, Wheat, Sweeteners, Other</v>
      </c>
      <c r="F97" s="1" t="s">
        <v>16</v>
      </c>
      <c r="H97" s="1" t="s">
        <v>31</v>
      </c>
      <c r="M97" s="1" t="s">
        <v>44</v>
      </c>
      <c r="N97" s="1" t="s">
        <v>166</v>
      </c>
    </row>
    <row r="98" ht="15.75" customHeight="1">
      <c r="A98" s="1" t="s">
        <v>246</v>
      </c>
      <c r="C98" s="1" t="s">
        <v>19</v>
      </c>
      <c r="D98" s="1" t="s">
        <v>247</v>
      </c>
      <c r="E98" s="1" t="str">
        <f>IFERROR(__xludf.DUMMYFUNCTION("""COMPUTED_VALUE"""),"Tree Nuts, Sweeteners, Other")</f>
        <v>Tree Nuts, Sweeteners, Other</v>
      </c>
      <c r="I98" s="1" t="s">
        <v>86</v>
      </c>
      <c r="M98" s="1" t="s">
        <v>44</v>
      </c>
      <c r="N98" s="1" t="s">
        <v>166</v>
      </c>
    </row>
    <row r="99" ht="15.75" customHeight="1">
      <c r="A99" s="1" t="s">
        <v>248</v>
      </c>
      <c r="C99" s="1" t="s">
        <v>19</v>
      </c>
      <c r="D99" s="1" t="s">
        <v>249</v>
      </c>
      <c r="E99" s="1" t="str">
        <f>IFERROR(__xludf.DUMMYFUNCTION("""COMPUTED_VALUE"""),"Wheat")</f>
        <v>Wheat</v>
      </c>
      <c r="H99" s="1" t="s">
        <v>31</v>
      </c>
    </row>
    <row r="100" ht="15.75" customHeight="1">
      <c r="A100" s="1" t="s">
        <v>250</v>
      </c>
      <c r="C100" s="1" t="s">
        <v>19</v>
      </c>
      <c r="D100" s="1" t="s">
        <v>251</v>
      </c>
      <c r="E100" s="1" t="str">
        <f>IFERROR(__xludf.DUMMYFUNCTION("""COMPUTED_VALUE"""),"Dried Herbs &amp; Spices, Spicy")</f>
        <v>Dried Herbs &amp; Spices, Spicy</v>
      </c>
      <c r="L100" s="1" t="s">
        <v>252</v>
      </c>
    </row>
    <row r="101" ht="15.75" customHeight="1">
      <c r="A101" s="1" t="s">
        <v>253</v>
      </c>
      <c r="C101" s="1" t="s">
        <v>14</v>
      </c>
      <c r="D101" s="1" t="s">
        <v>254</v>
      </c>
      <c r="E101" s="1" t="str">
        <f>IFERROR(__xludf.DUMMYFUNCTION("""COMPUTED_VALUE"""),"Dairy")</f>
        <v>Dairy</v>
      </c>
      <c r="F101" s="1" t="s">
        <v>21</v>
      </c>
    </row>
    <row r="102" ht="15.75" customHeight="1">
      <c r="A102" s="1" t="s">
        <v>255</v>
      </c>
      <c r="C102" s="1" t="s">
        <v>14</v>
      </c>
      <c r="D102" s="1" t="s">
        <v>256</v>
      </c>
      <c r="E102" s="1" t="str">
        <f>IFERROR(__xludf.DUMMYFUNCTION("""COMPUTED_VALUE"""),"Wheat, Dried Herbs &amp; Spices, Sweeteners, Other")</f>
        <v>Wheat, Dried Herbs &amp; Spices, Sweeteners, Other</v>
      </c>
      <c r="H102" s="1" t="s">
        <v>31</v>
      </c>
      <c r="L102" s="1" t="s">
        <v>17</v>
      </c>
      <c r="M102" s="1" t="s">
        <v>44</v>
      </c>
      <c r="N102" s="1" t="s">
        <v>166</v>
      </c>
    </row>
    <row r="103" ht="15.75" customHeight="1">
      <c r="A103" s="1" t="s">
        <v>257</v>
      </c>
      <c r="C103" s="1" t="s">
        <v>19</v>
      </c>
      <c r="D103" s="1" t="s">
        <v>258</v>
      </c>
      <c r="E103" s="1" t="str">
        <f>IFERROR(__xludf.DUMMYFUNCTION("""COMPUTED_VALUE"""),"Sweeteners, Other")</f>
        <v>Sweeteners, Other</v>
      </c>
      <c r="M103" s="1" t="s">
        <v>44</v>
      </c>
      <c r="N103" s="1" t="s">
        <v>166</v>
      </c>
    </row>
    <row r="104" ht="15.75" customHeight="1">
      <c r="A104" s="1" t="s">
        <v>259</v>
      </c>
      <c r="C104" s="1" t="s">
        <v>19</v>
      </c>
      <c r="D104" s="1" t="s">
        <v>260</v>
      </c>
      <c r="E104" s="1" t="str">
        <f>IFERROR(__xludf.DUMMYFUNCTION("""COMPUTED_VALUE"""),"Dried Herbs &amp; Spices, Spicy, Sweeteners")</f>
        <v>Dried Herbs &amp; Spices, Spicy, Sweeteners</v>
      </c>
      <c r="L104" s="1" t="s">
        <v>252</v>
      </c>
      <c r="M104" s="1" t="s">
        <v>44</v>
      </c>
    </row>
    <row r="105" ht="15.75" customHeight="1">
      <c r="A105" s="1" t="s">
        <v>261</v>
      </c>
      <c r="C105" s="1" t="s">
        <v>19</v>
      </c>
      <c r="D105" s="1" t="s">
        <v>262</v>
      </c>
      <c r="E105" s="1" t="str">
        <f>IFERROR(__xludf.DUMMYFUNCTION("""COMPUTED_VALUE"""),"Dried Herbs &amp; Spices, Spicy")</f>
        <v>Dried Herbs &amp; Spices, Spicy</v>
      </c>
      <c r="L105" s="1" t="s">
        <v>252</v>
      </c>
    </row>
    <row r="106" ht="15.75" customHeight="1">
      <c r="A106" s="1" t="s">
        <v>263</v>
      </c>
      <c r="C106" s="1" t="s">
        <v>14</v>
      </c>
      <c r="D106" s="1" t="s">
        <v>264</v>
      </c>
      <c r="E106" s="1" t="str">
        <f>IFERROR(__xludf.DUMMYFUNCTION("""COMPUTED_VALUE"""),"Dairy")</f>
        <v>Dairy</v>
      </c>
      <c r="F106" s="1" t="s">
        <v>21</v>
      </c>
    </row>
    <row r="107" ht="15.75" customHeight="1">
      <c r="A107" s="1" t="s">
        <v>265</v>
      </c>
      <c r="C107" s="1" t="s">
        <v>14</v>
      </c>
      <c r="D107" s="1" t="s">
        <v>266</v>
      </c>
      <c r="E107" s="1" t="str">
        <f>IFERROR(__xludf.DUMMYFUNCTION("""COMPUTED_VALUE"""),"Non-Dairy Milk, Tree Nuts")</f>
        <v>Non-Dairy Milk, Tree Nuts</v>
      </c>
      <c r="G107" s="1" t="s">
        <v>267</v>
      </c>
      <c r="I107" s="1" t="s">
        <v>86</v>
      </c>
    </row>
    <row r="108" ht="15.75" customHeight="1">
      <c r="A108" s="1" t="s">
        <v>268</v>
      </c>
      <c r="C108" s="1" t="s">
        <v>19</v>
      </c>
      <c r="D108" s="1" t="s">
        <v>269</v>
      </c>
      <c r="E108" s="1" t="str">
        <f>IFERROR(__xludf.DUMMYFUNCTION("""COMPUTED_VALUE"""),"Tree Nuts, Other")</f>
        <v>Tree Nuts, Other</v>
      </c>
      <c r="I108" s="1" t="s">
        <v>86</v>
      </c>
      <c r="N108" s="1" t="s">
        <v>166</v>
      </c>
    </row>
    <row r="109" ht="15.75" customHeight="1">
      <c r="A109" s="1" t="s">
        <v>270</v>
      </c>
      <c r="C109" s="1" t="s">
        <v>19</v>
      </c>
      <c r="D109" s="1" t="s">
        <v>271</v>
      </c>
      <c r="E109" s="1" t="str">
        <f>IFERROR(__xludf.DUMMYFUNCTION("""COMPUTED_VALUE"""),"Tree Nuts")</f>
        <v>Tree Nuts</v>
      </c>
      <c r="I109" s="1" t="s">
        <v>86</v>
      </c>
    </row>
    <row r="110" ht="15.75" customHeight="1">
      <c r="A110" s="1" t="s">
        <v>272</v>
      </c>
      <c r="C110" s="1" t="s">
        <v>19</v>
      </c>
      <c r="D110" s="1" t="s">
        <v>273</v>
      </c>
      <c r="E110" s="1" t="str">
        <f>IFERROR(__xludf.DUMMYFUNCTION("""COMPUTED_VALUE"""),"Tree Nuts, Sweeteners, Other")</f>
        <v>Tree Nuts, Sweeteners, Other</v>
      </c>
      <c r="I110" s="1" t="s">
        <v>86</v>
      </c>
      <c r="M110" s="1" t="s">
        <v>44</v>
      </c>
      <c r="N110" s="1" t="s">
        <v>166</v>
      </c>
    </row>
    <row r="111" ht="15.75" customHeight="1">
      <c r="A111" s="1" t="s">
        <v>274</v>
      </c>
      <c r="C111" s="1" t="s">
        <v>19</v>
      </c>
      <c r="D111" s="1" t="s">
        <v>275</v>
      </c>
      <c r="E111" s="1" t="str">
        <f>IFERROR(__xludf.DUMMYFUNCTION("""COMPUTED_VALUE"""),"Non-Dairy Milk, Tree Nuts")</f>
        <v>Non-Dairy Milk, Tree Nuts</v>
      </c>
      <c r="G111" s="1" t="s">
        <v>267</v>
      </c>
      <c r="I111" s="1" t="s">
        <v>86</v>
      </c>
    </row>
    <row r="112" ht="15.75" customHeight="1">
      <c r="A112" s="1" t="s">
        <v>276</v>
      </c>
      <c r="C112" s="1" t="s">
        <v>19</v>
      </c>
      <c r="D112" s="1" t="s">
        <v>277</v>
      </c>
      <c r="E112" s="1" t="str">
        <f>IFERROR(__xludf.DUMMYFUNCTION("""COMPUTED_VALUE"""),"Tree Nuts, Alcohol, Other")</f>
        <v>Tree Nuts, Alcohol, Other</v>
      </c>
      <c r="I112" s="1" t="s">
        <v>86</v>
      </c>
      <c r="M112" s="1" t="s">
        <v>213</v>
      </c>
      <c r="N112" s="1" t="s">
        <v>166</v>
      </c>
    </row>
    <row r="113" ht="15.75" customHeight="1">
      <c r="A113" s="1" t="s">
        <v>278</v>
      </c>
      <c r="C113" s="1" t="s">
        <v>19</v>
      </c>
      <c r="D113" s="1" t="s">
        <v>279</v>
      </c>
      <c r="E113" s="1" t="str">
        <f>IFERROR(__xludf.DUMMYFUNCTION("""COMPUTED_VALUE"""),"Nightshades, Other")</f>
        <v>Nightshades, Other</v>
      </c>
      <c r="J113" s="1" t="s">
        <v>280</v>
      </c>
      <c r="N113" s="1" t="s">
        <v>166</v>
      </c>
    </row>
    <row r="114" ht="15.75" customHeight="1">
      <c r="A114" s="1" t="s">
        <v>281</v>
      </c>
      <c r="C114" s="1" t="s">
        <v>19</v>
      </c>
      <c r="D114" s="1" t="s">
        <v>282</v>
      </c>
      <c r="E114" s="1" t="str">
        <f>IFERROR(__xludf.DUMMYFUNCTION("""COMPUTED_VALUE"""),"Tree Nuts")</f>
        <v>Tree Nuts</v>
      </c>
      <c r="I114" s="1" t="s">
        <v>86</v>
      </c>
    </row>
    <row r="115" ht="15.75" customHeight="1">
      <c r="A115" s="1" t="s">
        <v>283</v>
      </c>
      <c r="C115" s="1" t="s">
        <v>19</v>
      </c>
      <c r="D115" s="1" t="s">
        <v>284</v>
      </c>
      <c r="E115" s="1" t="str">
        <f>IFERROR(__xludf.DUMMYFUNCTION("""COMPUTED_VALUE"""),"Tree Nuts")</f>
        <v>Tree Nuts</v>
      </c>
      <c r="I115" s="1" t="s">
        <v>86</v>
      </c>
    </row>
    <row r="116" ht="15.75" customHeight="1">
      <c r="A116" s="1" t="s">
        <v>285</v>
      </c>
      <c r="C116" s="1" t="s">
        <v>19</v>
      </c>
      <c r="D116" s="1" t="s">
        <v>286</v>
      </c>
      <c r="E116" s="1" t="str">
        <f>IFERROR(__xludf.DUMMYFUNCTION("""COMPUTED_VALUE"""),"Non-Dairy Milk, Tree Nuts")</f>
        <v>Non-Dairy Milk, Tree Nuts</v>
      </c>
      <c r="G116" s="1" t="s">
        <v>267</v>
      </c>
      <c r="I116" s="1" t="s">
        <v>86</v>
      </c>
    </row>
    <row r="117" ht="15.75" customHeight="1">
      <c r="A117" s="1" t="s">
        <v>287</v>
      </c>
      <c r="C117" s="1" t="s">
        <v>14</v>
      </c>
      <c r="D117" s="1" t="s">
        <v>288</v>
      </c>
      <c r="E117" s="1" t="str">
        <f>IFERROR(__xludf.DUMMYFUNCTION("""COMPUTED_VALUE"""),"Non-Dairy Milk, Tree Nuts, Caffeine")</f>
        <v>Non-Dairy Milk, Tree Nuts, Caffeine</v>
      </c>
      <c r="G117" s="1" t="s">
        <v>267</v>
      </c>
      <c r="I117" s="1" t="s">
        <v>86</v>
      </c>
      <c r="M117" s="1" t="s">
        <v>22</v>
      </c>
    </row>
    <row r="118" ht="15.75" customHeight="1">
      <c r="A118" s="1" t="s">
        <v>289</v>
      </c>
      <c r="C118" s="1" t="s">
        <v>19</v>
      </c>
      <c r="D118" s="1" t="s">
        <v>290</v>
      </c>
      <c r="E118" s="1" t="str">
        <f>IFERROR(__xludf.DUMMYFUNCTION("""COMPUTED_VALUE"""),"Eggs, Tree Nuts, Sweeteners, Other")</f>
        <v>Eggs, Tree Nuts, Sweeteners, Other</v>
      </c>
      <c r="F118" s="1" t="s">
        <v>138</v>
      </c>
      <c r="I118" s="1" t="s">
        <v>86</v>
      </c>
      <c r="M118" s="1" t="s">
        <v>44</v>
      </c>
      <c r="N118" s="1" t="s">
        <v>166</v>
      </c>
    </row>
    <row r="119" ht="15.75" customHeight="1">
      <c r="A119" s="1" t="s">
        <v>291</v>
      </c>
      <c r="C119" s="1" t="s">
        <v>19</v>
      </c>
      <c r="D119" s="1" t="s">
        <v>292</v>
      </c>
      <c r="E119" s="1" t="str">
        <f>IFERROR(__xludf.DUMMYFUNCTION("""COMPUTED_VALUE"""),"Tree Nuts, Other")</f>
        <v>Tree Nuts, Other</v>
      </c>
      <c r="I119" s="1" t="s">
        <v>86</v>
      </c>
      <c r="N119" s="1" t="s">
        <v>166</v>
      </c>
    </row>
    <row r="120" ht="15.75" customHeight="1">
      <c r="A120" s="1" t="s">
        <v>293</v>
      </c>
      <c r="C120" s="1" t="s">
        <v>19</v>
      </c>
      <c r="D120" s="1" t="s">
        <v>294</v>
      </c>
      <c r="E120" s="1" t="str">
        <f>IFERROR(__xludf.DUMMYFUNCTION("""COMPUTED_VALUE"""),"Tree Nuts")</f>
        <v>Tree Nuts</v>
      </c>
      <c r="I120" s="1" t="s">
        <v>86</v>
      </c>
    </row>
    <row r="121" ht="15.75" customHeight="1">
      <c r="A121" s="1" t="s">
        <v>295</v>
      </c>
      <c r="C121" s="1" t="s">
        <v>19</v>
      </c>
      <c r="D121" s="1" t="s">
        <v>296</v>
      </c>
      <c r="E121" s="1" t="str">
        <f>IFERROR(__xludf.DUMMYFUNCTION("""COMPUTED_VALUE"""),"Tree Nuts")</f>
        <v>Tree Nuts</v>
      </c>
      <c r="I121" s="1" t="s">
        <v>86</v>
      </c>
    </row>
    <row r="122" ht="15.75" customHeight="1">
      <c r="A122" s="1" t="s">
        <v>297</v>
      </c>
      <c r="C122" s="1" t="s">
        <v>19</v>
      </c>
      <c r="D122" s="1" t="s">
        <v>298</v>
      </c>
      <c r="E122" s="1" t="str">
        <f>IFERROR(__xludf.DUMMYFUNCTION("""COMPUTED_VALUE"""),"Sweeteners, Other")</f>
        <v>Sweeteners, Other</v>
      </c>
      <c r="M122" s="1" t="s">
        <v>44</v>
      </c>
      <c r="N122" s="1" t="s">
        <v>166</v>
      </c>
    </row>
    <row r="123" ht="15.75" customHeight="1">
      <c r="A123" s="1" t="s">
        <v>299</v>
      </c>
      <c r="C123" s="1" t="s">
        <v>19</v>
      </c>
      <c r="D123" s="1" t="s">
        <v>300</v>
      </c>
      <c r="E123" s="1" t="str">
        <f>IFERROR(__xludf.DUMMYFUNCTION("""COMPUTED_VALUE"""),"Non-Dairy Milk, Soy")</f>
        <v>Non-Dairy Milk, Soy</v>
      </c>
      <c r="G123" s="1" t="s">
        <v>267</v>
      </c>
      <c r="I123" s="1" t="s">
        <v>40</v>
      </c>
    </row>
    <row r="124" ht="15.75" customHeight="1">
      <c r="A124" s="1" t="s">
        <v>301</v>
      </c>
      <c r="C124" s="1" t="s">
        <v>14</v>
      </c>
      <c r="D124" s="1" t="s">
        <v>302</v>
      </c>
      <c r="E124" s="1" t="str">
        <f>IFERROR(__xludf.DUMMYFUNCTION("""COMPUTED_VALUE"""),"Non-Dairy Milk, Tropical Fruits")</f>
        <v>Non-Dairy Milk, Tropical Fruits</v>
      </c>
      <c r="G124" s="1" t="s">
        <v>267</v>
      </c>
      <c r="K124" s="1" t="s">
        <v>47</v>
      </c>
    </row>
    <row r="125" ht="15.75" customHeight="1">
      <c r="A125" s="1" t="s">
        <v>303</v>
      </c>
      <c r="C125" s="1" t="s">
        <v>14</v>
      </c>
      <c r="D125" s="1" t="s">
        <v>304</v>
      </c>
      <c r="E125" s="1" t="str">
        <f>IFERROR(__xludf.DUMMYFUNCTION("""COMPUTED_VALUE"""),"Soy, Sweeteners, Other")</f>
        <v>Soy, Sweeteners, Other</v>
      </c>
      <c r="I125" s="1" t="s">
        <v>40</v>
      </c>
      <c r="M125" s="1" t="s">
        <v>44</v>
      </c>
      <c r="N125" s="1" t="s">
        <v>166</v>
      </c>
    </row>
    <row r="126" ht="15.75" customHeight="1">
      <c r="A126" s="1" t="s">
        <v>305</v>
      </c>
      <c r="C126" s="1" t="s">
        <v>14</v>
      </c>
      <c r="D126" s="1" t="s">
        <v>306</v>
      </c>
      <c r="E126" s="1" t="str">
        <f>IFERROR(__xludf.DUMMYFUNCTION("""COMPUTED_VALUE"""),"Dairy, Tree Nuts, Dried Herbs &amp; Spices, Sweeteners")</f>
        <v>Dairy, Tree Nuts, Dried Herbs &amp; Spices, Sweeteners</v>
      </c>
      <c r="F126" s="1" t="s">
        <v>21</v>
      </c>
      <c r="I126" s="1" t="s">
        <v>86</v>
      </c>
      <c r="L126" s="1" t="s">
        <v>17</v>
      </c>
      <c r="M126" s="1" t="s">
        <v>44</v>
      </c>
    </row>
    <row r="127" ht="15.75" customHeight="1">
      <c r="A127" s="1" t="s">
        <v>307</v>
      </c>
      <c r="C127" s="1" t="s">
        <v>19</v>
      </c>
      <c r="D127" s="1" t="s">
        <v>308</v>
      </c>
      <c r="E127" s="1" t="str">
        <f>IFERROR(__xludf.DUMMYFUNCTION("""COMPUTED_VALUE"""),"Corn, Sweeteners, Other")</f>
        <v>Corn, Sweeteners, Other</v>
      </c>
      <c r="H127" s="1" t="s">
        <v>161</v>
      </c>
      <c r="M127" s="1" t="s">
        <v>44</v>
      </c>
      <c r="N127" s="1" t="s">
        <v>166</v>
      </c>
    </row>
    <row r="128" ht="15.75" customHeight="1">
      <c r="A128" s="1" t="s">
        <v>309</v>
      </c>
      <c r="C128" s="1" t="s">
        <v>14</v>
      </c>
      <c r="D128" s="1" t="s">
        <v>310</v>
      </c>
      <c r="E128" s="1" t="str">
        <f>IFERROR(__xludf.DUMMYFUNCTION("""COMPUTED_VALUE"""),"Alliums")</f>
        <v>Alliums</v>
      </c>
      <c r="J128" s="1" t="s">
        <v>126</v>
      </c>
    </row>
    <row r="129" ht="15.75" customHeight="1">
      <c r="A129" s="1" t="s">
        <v>311</v>
      </c>
      <c r="C129" s="1" t="s">
        <v>14</v>
      </c>
      <c r="D129" s="1" t="s">
        <v>312</v>
      </c>
      <c r="E129" s="1" t="str">
        <f>IFERROR(__xludf.DUMMYFUNCTION("""COMPUTED_VALUE"""),"Nightshades, Alliums, Dried Herbs &amp; Spices, Sweeteners")</f>
        <v>Nightshades, Alliums, Dried Herbs &amp; Spices, Sweeteners</v>
      </c>
      <c r="J129" s="1" t="s">
        <v>313</v>
      </c>
      <c r="L129" s="1" t="s">
        <v>17</v>
      </c>
      <c r="M129" s="1" t="s">
        <v>44</v>
      </c>
    </row>
    <row r="130" ht="15.75" customHeight="1">
      <c r="A130" s="1" t="s">
        <v>314</v>
      </c>
      <c r="C130" s="1" t="s">
        <v>19</v>
      </c>
      <c r="D130" s="1" t="s">
        <v>315</v>
      </c>
      <c r="E130" s="1" t="str">
        <f>IFERROR(__xludf.DUMMYFUNCTION("""COMPUTED_VALUE"""),"Other")</f>
        <v>Other</v>
      </c>
      <c r="N130" s="1" t="s">
        <v>166</v>
      </c>
    </row>
    <row r="131" ht="15.75" customHeight="1">
      <c r="A131" s="1" t="s">
        <v>316</v>
      </c>
      <c r="C131" s="1" t="s">
        <v>19</v>
      </c>
      <c r="D131" s="1" t="s">
        <v>317</v>
      </c>
      <c r="E131" s="1" t="str">
        <f>IFERROR(__xludf.DUMMYFUNCTION("""COMPUTED_VALUE"""),"Gluten-Free Grains, Other")</f>
        <v>Gluten-Free Grains, Other</v>
      </c>
      <c r="H131" s="1" t="s">
        <v>80</v>
      </c>
      <c r="N131" s="1" t="s">
        <v>166</v>
      </c>
    </row>
    <row r="132" ht="15.75" customHeight="1">
      <c r="A132" s="1" t="s">
        <v>318</v>
      </c>
      <c r="C132" s="1" t="s">
        <v>19</v>
      </c>
      <c r="D132" s="1" t="s">
        <v>319</v>
      </c>
      <c r="E132" s="1" t="str">
        <f>IFERROR(__xludf.DUMMYFUNCTION("""COMPUTED_VALUE"""),"Leafy Greens, Other")</f>
        <v>Leafy Greens, Other</v>
      </c>
      <c r="J132" s="1" t="s">
        <v>320</v>
      </c>
      <c r="N132" s="1" t="s">
        <v>166</v>
      </c>
    </row>
    <row r="133" ht="15.75" customHeight="1">
      <c r="A133" s="1" t="s">
        <v>321</v>
      </c>
      <c r="C133" s="1" t="s">
        <v>19</v>
      </c>
      <c r="D133" s="1" t="s">
        <v>322</v>
      </c>
      <c r="E133" s="1" t="str">
        <f>IFERROR(__xludf.DUMMYFUNCTION("""COMPUTED_VALUE"""),"Dairy")</f>
        <v>Dairy</v>
      </c>
      <c r="F133" s="1" t="s">
        <v>21</v>
      </c>
    </row>
    <row r="134" ht="15.75" customHeight="1">
      <c r="A134" s="1" t="s">
        <v>323</v>
      </c>
      <c r="C134" s="1" t="s">
        <v>19</v>
      </c>
      <c r="D134" s="1" t="s">
        <v>324</v>
      </c>
      <c r="E134" s="1" t="str">
        <f>IFERROR(__xludf.DUMMYFUNCTION("""COMPUTED_VALUE"""),"Fish")</f>
        <v>Fish</v>
      </c>
      <c r="F134" s="1" t="s">
        <v>198</v>
      </c>
    </row>
    <row r="135" ht="15.75" customHeight="1">
      <c r="A135" s="1" t="s">
        <v>325</v>
      </c>
      <c r="C135" s="1" t="s">
        <v>19</v>
      </c>
      <c r="D135" s="1" t="s">
        <v>326</v>
      </c>
      <c r="E135" s="1" t="str">
        <f>IFERROR(__xludf.DUMMYFUNCTION("""COMPUTED_VALUE"""),"Beef, Wheat, Soy, Alliums, Dried Herbs &amp; Spices, Sweeteners, Other")</f>
        <v>Beef, Wheat, Soy, Alliums, Dried Herbs &amp; Spices, Sweeteners, Other</v>
      </c>
      <c r="F135" s="1" t="s">
        <v>91</v>
      </c>
      <c r="H135" s="1" t="s">
        <v>31</v>
      </c>
      <c r="I135" s="1" t="s">
        <v>40</v>
      </c>
      <c r="J135" s="1" t="s">
        <v>126</v>
      </c>
      <c r="L135" s="1" t="s">
        <v>17</v>
      </c>
      <c r="M135" s="1" t="s">
        <v>44</v>
      </c>
      <c r="N135" s="1" t="s">
        <v>166</v>
      </c>
    </row>
    <row r="136" ht="15.75" customHeight="1">
      <c r="A136" s="1" t="s">
        <v>327</v>
      </c>
      <c r="C136" s="1" t="s">
        <v>14</v>
      </c>
      <c r="D136" s="1" t="s">
        <v>328</v>
      </c>
      <c r="E136" s="1" t="str">
        <f>IFERROR(__xludf.DUMMYFUNCTION("""COMPUTED_VALUE"""),"Wheat, Soy, Dried Herbs &amp; Spices, Sweeteners, Other")</f>
        <v>Wheat, Soy, Dried Herbs &amp; Spices, Sweeteners, Other</v>
      </c>
      <c r="H136" s="1" t="s">
        <v>31</v>
      </c>
      <c r="I136" s="1" t="s">
        <v>40</v>
      </c>
      <c r="L136" s="1" t="s">
        <v>17</v>
      </c>
      <c r="M136" s="1" t="s">
        <v>44</v>
      </c>
      <c r="N136" s="1" t="s">
        <v>166</v>
      </c>
    </row>
    <row r="137" ht="15.75" customHeight="1">
      <c r="A137" s="1" t="s">
        <v>329</v>
      </c>
      <c r="C137" s="1" t="s">
        <v>14</v>
      </c>
      <c r="D137" s="1" t="s">
        <v>330</v>
      </c>
      <c r="E137" s="1" t="str">
        <f>IFERROR(__xludf.DUMMYFUNCTION("""COMPUTED_VALUE"""),"Dairy, Dried Herbs &amp; Spices, Other")</f>
        <v>Dairy, Dried Herbs &amp; Spices, Other</v>
      </c>
      <c r="F137" s="1" t="s">
        <v>21</v>
      </c>
      <c r="L137" s="1" t="s">
        <v>17</v>
      </c>
      <c r="N137" s="1" t="s">
        <v>166</v>
      </c>
    </row>
    <row r="138" ht="15.75" customHeight="1">
      <c r="A138" s="1" t="s">
        <v>331</v>
      </c>
      <c r="C138" s="1" t="s">
        <v>14</v>
      </c>
      <c r="D138" s="1" t="s">
        <v>332</v>
      </c>
      <c r="E138" s="1" t="str">
        <f>IFERROR(__xludf.DUMMYFUNCTION("""COMPUTED_VALUE"""),"Sweeteners, Other")</f>
        <v>Sweeteners, Other</v>
      </c>
      <c r="M138" s="1" t="s">
        <v>44</v>
      </c>
      <c r="N138" s="1" t="s">
        <v>166</v>
      </c>
    </row>
    <row r="139" ht="15.75" customHeight="1">
      <c r="A139" s="1" t="s">
        <v>333</v>
      </c>
      <c r="C139" s="1" t="s">
        <v>19</v>
      </c>
      <c r="D139" s="1" t="s">
        <v>334</v>
      </c>
      <c r="E139" s="1" t="str">
        <f>IFERROR(__xludf.DUMMYFUNCTION("""COMPUTED_VALUE"""),"Spicy, Dried Herbs &amp; Spices, Sweeteners")</f>
        <v>Spicy, Dried Herbs &amp; Spices, Sweeteners</v>
      </c>
      <c r="L139" s="1" t="s">
        <v>335</v>
      </c>
      <c r="M139" s="1" t="s">
        <v>44</v>
      </c>
    </row>
    <row r="140" ht="15.75" customHeight="1">
      <c r="A140" s="1" t="s">
        <v>336</v>
      </c>
      <c r="C140" s="1" t="s">
        <v>14</v>
      </c>
      <c r="D140" s="1" t="s">
        <v>337</v>
      </c>
      <c r="E140" s="1" t="str">
        <f>IFERROR(__xludf.DUMMYFUNCTION("""COMPUTED_VALUE"""),"Dairy")</f>
        <v>Dairy</v>
      </c>
      <c r="F140" s="1" t="s">
        <v>21</v>
      </c>
    </row>
    <row r="141" ht="15.75" customHeight="1">
      <c r="A141" s="1" t="s">
        <v>338</v>
      </c>
      <c r="C141" s="1" t="s">
        <v>19</v>
      </c>
      <c r="D141" s="1" t="s">
        <v>339</v>
      </c>
      <c r="E141" s="1" t="str">
        <f>IFERROR(__xludf.DUMMYFUNCTION("""COMPUTED_VALUE"""),"Fish, Dairy, Alliums, Sweeteners, Other")</f>
        <v>Fish, Dairy, Alliums, Sweeteners, Other</v>
      </c>
      <c r="F141" s="1" t="s">
        <v>340</v>
      </c>
      <c r="J141" s="1" t="s">
        <v>126</v>
      </c>
      <c r="M141" s="1" t="s">
        <v>44</v>
      </c>
      <c r="N141" s="1" t="s">
        <v>166</v>
      </c>
    </row>
    <row r="142" ht="15.75" customHeight="1">
      <c r="A142" s="1" t="s">
        <v>341</v>
      </c>
      <c r="C142" s="1" t="s">
        <v>19</v>
      </c>
      <c r="D142" s="1" t="s">
        <v>342</v>
      </c>
      <c r="E142" s="1" t="str">
        <f>IFERROR(__xludf.DUMMYFUNCTION("""COMPUTED_VALUE"""),"Fish")</f>
        <v>Fish</v>
      </c>
      <c r="F142" s="1" t="s">
        <v>198</v>
      </c>
    </row>
    <row r="143" ht="15.75" customHeight="1">
      <c r="A143" s="1" t="s">
        <v>343</v>
      </c>
      <c r="C143" s="1" t="s">
        <v>19</v>
      </c>
      <c r="D143" s="1" t="s">
        <v>344</v>
      </c>
      <c r="E143" s="1" t="str">
        <f>IFERROR(__xludf.DUMMYFUNCTION("""COMPUTED_VALUE"""),"Dairy")</f>
        <v>Dairy</v>
      </c>
      <c r="F143" s="1" t="s">
        <v>21</v>
      </c>
    </row>
    <row r="144" ht="15.75" customHeight="1">
      <c r="A144" s="1" t="s">
        <v>345</v>
      </c>
      <c r="C144" s="1" t="s">
        <v>19</v>
      </c>
      <c r="D144" s="1" t="s">
        <v>346</v>
      </c>
      <c r="E144" s="1" t="str">
        <f>IFERROR(__xludf.DUMMYFUNCTION("""COMPUTED_VALUE"""),"Dairy, Wheat, Nightshades, Alliums, Spicy")</f>
        <v>Dairy, Wheat, Nightshades, Alliums, Spicy</v>
      </c>
      <c r="F144" s="1" t="s">
        <v>21</v>
      </c>
      <c r="H144" s="1" t="s">
        <v>31</v>
      </c>
      <c r="J144" s="1" t="s">
        <v>313</v>
      </c>
      <c r="L144" s="1" t="s">
        <v>51</v>
      </c>
    </row>
    <row r="145" ht="15.75" customHeight="1">
      <c r="A145" s="1" t="s">
        <v>347</v>
      </c>
      <c r="C145" s="1" t="s">
        <v>14</v>
      </c>
      <c r="D145" s="1" t="s">
        <v>348</v>
      </c>
      <c r="E145" s="1" t="str">
        <f>IFERROR(__xludf.DUMMYFUNCTION("""COMPUTED_VALUE"""),"Beef")</f>
        <v>Beef</v>
      </c>
      <c r="F145" s="1" t="s">
        <v>91</v>
      </c>
    </row>
    <row r="146" ht="15.75" customHeight="1">
      <c r="A146" s="1" t="s">
        <v>349</v>
      </c>
      <c r="C146" s="1" t="s">
        <v>19</v>
      </c>
      <c r="D146" s="1" t="s">
        <v>350</v>
      </c>
      <c r="E146" s="1" t="str">
        <f>IFERROR(__xludf.DUMMYFUNCTION("""COMPUTED_VALUE"""),"Others")</f>
        <v>Others</v>
      </c>
      <c r="N146" s="1" t="s">
        <v>12</v>
      </c>
    </row>
    <row r="147" ht="15.75" customHeight="1">
      <c r="A147" s="1" t="s">
        <v>351</v>
      </c>
      <c r="C147" s="1" t="s">
        <v>14</v>
      </c>
      <c r="D147" s="1" t="s">
        <v>352</v>
      </c>
      <c r="E147" s="1" t="str">
        <f>IFERROR(__xludf.DUMMYFUNCTION("""COMPUTED_VALUE"""),"Nightshades")</f>
        <v>Nightshades</v>
      </c>
      <c r="J147" s="1" t="s">
        <v>280</v>
      </c>
    </row>
    <row r="148" ht="15.75" customHeight="1">
      <c r="A148" s="1" t="s">
        <v>353</v>
      </c>
      <c r="C148" s="1" t="s">
        <v>14</v>
      </c>
      <c r="D148" s="1" t="s">
        <v>354</v>
      </c>
      <c r="E148" s="1" t="str">
        <f>IFERROR(__xludf.DUMMYFUNCTION("""COMPUTED_VALUE"""),"Non-Dairy Milk, Gluten-Free Grains, Beans")</f>
        <v>Non-Dairy Milk, Gluten-Free Grains, Beans</v>
      </c>
      <c r="G148" s="1" t="s">
        <v>267</v>
      </c>
      <c r="H148" s="1" t="s">
        <v>80</v>
      </c>
      <c r="I148" s="1" t="s">
        <v>175</v>
      </c>
    </row>
    <row r="149" ht="15.75" customHeight="1">
      <c r="A149" s="1" t="s">
        <v>355</v>
      </c>
      <c r="C149" s="1" t="s">
        <v>14</v>
      </c>
      <c r="D149" s="1" t="s">
        <v>356</v>
      </c>
      <c r="E149" s="1" t="str">
        <f>IFERROR(__xludf.DUMMYFUNCTION("""COMPUTED_VALUE"""),"Dairy, Sweeteners")</f>
        <v>Dairy, Sweeteners</v>
      </c>
      <c r="F149" s="1" t="s">
        <v>21</v>
      </c>
      <c r="M149" s="1" t="s">
        <v>44</v>
      </c>
    </row>
    <row r="150" ht="15.75" customHeight="1">
      <c r="A150" s="1" t="s">
        <v>357</v>
      </c>
      <c r="C150" s="1" t="s">
        <v>19</v>
      </c>
      <c r="D150" s="1" t="s">
        <v>358</v>
      </c>
      <c r="E150" s="1" t="str">
        <f>IFERROR(__xludf.DUMMYFUNCTION("""COMPUTED_VALUE"""),"Others")</f>
        <v>Others</v>
      </c>
      <c r="N150" s="1" t="s">
        <v>12</v>
      </c>
    </row>
    <row r="151" ht="15.75" customHeight="1">
      <c r="A151" s="1" t="s">
        <v>359</v>
      </c>
      <c r="C151" s="1" t="s">
        <v>19</v>
      </c>
      <c r="D151" s="1" t="s">
        <v>360</v>
      </c>
      <c r="E151" s="1" t="str">
        <f>IFERROR(__xludf.DUMMYFUNCTION("""COMPUTED_VALUE"""),"Dairy, Sweeteners")</f>
        <v>Dairy, Sweeteners</v>
      </c>
      <c r="F151" s="1" t="s">
        <v>21</v>
      </c>
      <c r="M151" s="1" t="s">
        <v>44</v>
      </c>
    </row>
    <row r="152" ht="15.75" customHeight="1">
      <c r="A152" s="1" t="s">
        <v>361</v>
      </c>
      <c r="C152" s="1" t="s">
        <v>19</v>
      </c>
      <c r="D152" s="1" t="s">
        <v>362</v>
      </c>
      <c r="E152" s="1" t="str">
        <f>IFERROR(__xludf.DUMMYFUNCTION("""COMPUTED_VALUE"""),"Sweeteners")</f>
        <v>Sweeteners</v>
      </c>
      <c r="M152" s="1" t="s">
        <v>44</v>
      </c>
    </row>
    <row r="153" ht="15.75" customHeight="1">
      <c r="A153" s="1" t="s">
        <v>363</v>
      </c>
      <c r="C153" s="1" t="s">
        <v>19</v>
      </c>
      <c r="D153" s="1" t="s">
        <v>364</v>
      </c>
      <c r="E153" s="1" t="str">
        <f>IFERROR(__xludf.DUMMYFUNCTION("""COMPUTED_VALUE"""),"Sweeteners")</f>
        <v>Sweeteners</v>
      </c>
      <c r="M153" s="1" t="s">
        <v>44</v>
      </c>
    </row>
    <row r="154" ht="15.75" customHeight="1">
      <c r="A154" s="1" t="s">
        <v>365</v>
      </c>
      <c r="C154" s="1" t="s">
        <v>19</v>
      </c>
      <c r="D154" s="1" t="s">
        <v>366</v>
      </c>
      <c r="E154" s="1" t="str">
        <f>IFERROR(__xludf.DUMMYFUNCTION("""COMPUTED_VALUE"""),"Dairy, Sweeteners")</f>
        <v>Dairy, Sweeteners</v>
      </c>
      <c r="F154" s="1" t="s">
        <v>21</v>
      </c>
      <c r="M154" s="1" t="s">
        <v>44</v>
      </c>
    </row>
    <row r="155" ht="15.75" customHeight="1">
      <c r="A155" s="1" t="s">
        <v>367</v>
      </c>
      <c r="C155" s="1" t="s">
        <v>19</v>
      </c>
      <c r="D155" s="1" t="s">
        <v>368</v>
      </c>
      <c r="E155" s="1" t="str">
        <f>IFERROR(__xludf.DUMMYFUNCTION("""COMPUTED_VALUE"""),"Sweeteners")</f>
        <v>Sweeteners</v>
      </c>
      <c r="M155" s="1" t="s">
        <v>44</v>
      </c>
    </row>
    <row r="156" ht="15.75" customHeight="1">
      <c r="A156" s="1" t="s">
        <v>369</v>
      </c>
      <c r="C156" s="1" t="s">
        <v>14</v>
      </c>
      <c r="D156" s="1" t="s">
        <v>370</v>
      </c>
      <c r="E156" s="1" t="str">
        <f>IFERROR(__xludf.DUMMYFUNCTION("""COMPUTED_VALUE"""),"Sweeteners")</f>
        <v>Sweeteners</v>
      </c>
      <c r="M156" s="1" t="s">
        <v>44</v>
      </c>
    </row>
    <row r="157" ht="15.75" customHeight="1">
      <c r="A157" s="1" t="s">
        <v>371</v>
      </c>
      <c r="C157" s="1" t="s">
        <v>19</v>
      </c>
      <c r="D157" s="1" t="s">
        <v>372</v>
      </c>
      <c r="E157" s="1" t="str">
        <f>IFERROR(__xludf.DUMMYFUNCTION("""COMPUTED_VALUE"""),"Sweeteners")</f>
        <v>Sweeteners</v>
      </c>
      <c r="M157" s="1" t="s">
        <v>44</v>
      </c>
    </row>
    <row r="158" ht="15.75" customHeight="1">
      <c r="A158" s="1" t="s">
        <v>373</v>
      </c>
      <c r="C158" s="1" t="s">
        <v>19</v>
      </c>
      <c r="D158" s="1" t="s">
        <v>374</v>
      </c>
      <c r="E158" s="1" t="str">
        <f>IFERROR(__xludf.DUMMYFUNCTION("""COMPUTED_VALUE"""),"Sweeteners")</f>
        <v>Sweeteners</v>
      </c>
      <c r="M158" s="1" t="s">
        <v>44</v>
      </c>
    </row>
    <row r="159" ht="15.75" customHeight="1">
      <c r="A159" s="1" t="s">
        <v>375</v>
      </c>
      <c r="C159" s="1" t="s">
        <v>19</v>
      </c>
      <c r="D159" s="1" t="s">
        <v>376</v>
      </c>
      <c r="E159" s="1" t="str">
        <f>IFERROR(__xludf.DUMMYFUNCTION("""COMPUTED_VALUE"""),"Sweeteners")</f>
        <v>Sweeteners</v>
      </c>
      <c r="M159" s="1" t="s">
        <v>44</v>
      </c>
    </row>
    <row r="160" ht="15.75" customHeight="1">
      <c r="A160" s="1" t="s">
        <v>377</v>
      </c>
      <c r="C160" s="1" t="s">
        <v>14</v>
      </c>
      <c r="D160" s="1" t="s">
        <v>378</v>
      </c>
      <c r="E160" s="1" t="str">
        <f>IFERROR(__xludf.DUMMYFUNCTION("""COMPUTED_VALUE"""),"Dairy, Sweeteners")</f>
        <v>Dairy, Sweeteners</v>
      </c>
      <c r="F160" s="1" t="s">
        <v>21</v>
      </c>
      <c r="M160" s="1" t="s">
        <v>44</v>
      </c>
    </row>
    <row r="161" ht="15.75" customHeight="1">
      <c r="A161" s="1" t="s">
        <v>379</v>
      </c>
      <c r="C161" s="1" t="s">
        <v>14</v>
      </c>
      <c r="D161" s="1" t="s">
        <v>380</v>
      </c>
      <c r="E161" s="1" t="str">
        <f>IFERROR(__xludf.DUMMYFUNCTION("""COMPUTED_VALUE"""),"Sweeteners")</f>
        <v>Sweeteners</v>
      </c>
      <c r="M161" s="1" t="s">
        <v>44</v>
      </c>
    </row>
    <row r="162" ht="15.75" customHeight="1">
      <c r="A162" s="1" t="s">
        <v>381</v>
      </c>
      <c r="C162" s="1" t="s">
        <v>19</v>
      </c>
      <c r="D162" s="1" t="s">
        <v>382</v>
      </c>
      <c r="E162" s="1" t="str">
        <f>IFERROR(__xludf.DUMMYFUNCTION("""COMPUTED_VALUE"""),"Dairy, Sweeteners")</f>
        <v>Dairy, Sweeteners</v>
      </c>
      <c r="F162" s="1" t="s">
        <v>21</v>
      </c>
      <c r="M162" s="1" t="s">
        <v>44</v>
      </c>
    </row>
    <row r="163" ht="15.75" customHeight="1">
      <c r="A163" s="1" t="s">
        <v>383</v>
      </c>
      <c r="C163" s="1" t="s">
        <v>19</v>
      </c>
      <c r="D163" s="1" t="s">
        <v>384</v>
      </c>
      <c r="E163" s="1" t="str">
        <f>IFERROR(__xludf.DUMMYFUNCTION("""COMPUTED_VALUE"""),"Sweeteners")</f>
        <v>Sweeteners</v>
      </c>
      <c r="M163" s="1" t="s">
        <v>44</v>
      </c>
    </row>
    <row r="164" ht="15.75" customHeight="1">
      <c r="A164" s="1" t="s">
        <v>385</v>
      </c>
      <c r="C164" s="1" t="s">
        <v>19</v>
      </c>
      <c r="D164" s="1" t="s">
        <v>386</v>
      </c>
      <c r="E164" s="1" t="str">
        <f>IFERROR(__xludf.DUMMYFUNCTION("""COMPUTED_VALUE"""),"Dried Herbs &amp; Spices, Sweeteners")</f>
        <v>Dried Herbs &amp; Spices, Sweeteners</v>
      </c>
      <c r="L164" s="1" t="s">
        <v>17</v>
      </c>
      <c r="M164" s="1" t="s">
        <v>44</v>
      </c>
    </row>
    <row r="165" ht="15.75" customHeight="1">
      <c r="A165" s="1" t="s">
        <v>387</v>
      </c>
      <c r="C165" s="1" t="s">
        <v>19</v>
      </c>
      <c r="D165" s="1" t="s">
        <v>388</v>
      </c>
      <c r="E165" s="1" t="str">
        <f>IFERROR(__xludf.DUMMYFUNCTION("""COMPUTED_VALUE"""),"Pork, Sweeteners")</f>
        <v>Pork, Sweeteners</v>
      </c>
      <c r="F165" s="1" t="s">
        <v>389</v>
      </c>
      <c r="M165" s="1" t="s">
        <v>44</v>
      </c>
    </row>
    <row r="166" ht="15.75" customHeight="1">
      <c r="A166" s="1" t="s">
        <v>390</v>
      </c>
      <c r="C166" s="1" t="s">
        <v>19</v>
      </c>
      <c r="D166" s="1" t="s">
        <v>391</v>
      </c>
      <c r="E166" s="1" t="str">
        <f>IFERROR(__xludf.DUMMYFUNCTION("""COMPUTED_VALUE"""),"Eggs, Dairy, Sweeteners")</f>
        <v>Eggs, Dairy, Sweeteners</v>
      </c>
      <c r="F166" s="1" t="s">
        <v>203</v>
      </c>
      <c r="M166" s="1" t="s">
        <v>44</v>
      </c>
    </row>
    <row r="167" ht="15.75" customHeight="1">
      <c r="A167" s="1" t="s">
        <v>392</v>
      </c>
      <c r="C167" s="1" t="s">
        <v>19</v>
      </c>
      <c r="D167" s="1" t="s">
        <v>393</v>
      </c>
      <c r="E167" s="1" t="str">
        <f>IFERROR(__xludf.DUMMYFUNCTION("""COMPUTED_VALUE"""),"Wheat, Corn, Stone Fruits, Dried Herbs &amp; Spices, Sweeteners")</f>
        <v>Wheat, Corn, Stone Fruits, Dried Herbs &amp; Spices, Sweeteners</v>
      </c>
      <c r="H167" s="1" t="s">
        <v>113</v>
      </c>
      <c r="K167" s="1" t="s">
        <v>394</v>
      </c>
      <c r="L167" s="1" t="s">
        <v>17</v>
      </c>
      <c r="M167" s="1" t="s">
        <v>44</v>
      </c>
    </row>
    <row r="168" ht="15.75" customHeight="1">
      <c r="A168" s="1" t="s">
        <v>395</v>
      </c>
      <c r="C168" s="1" t="s">
        <v>19</v>
      </c>
      <c r="D168" s="1" t="s">
        <v>396</v>
      </c>
      <c r="E168" s="1" t="str">
        <f>IFERROR(__xludf.DUMMYFUNCTION("""COMPUTED_VALUE"""),"Citrus, Sweeteners")</f>
        <v>Citrus, Sweeteners</v>
      </c>
      <c r="K168" s="1" t="s">
        <v>156</v>
      </c>
      <c r="M168" s="1" t="s">
        <v>44</v>
      </c>
    </row>
    <row r="169" ht="15.75" customHeight="1">
      <c r="A169" s="1" t="s">
        <v>397</v>
      </c>
      <c r="C169" s="1" t="s">
        <v>19</v>
      </c>
      <c r="D169" s="1" t="s">
        <v>398</v>
      </c>
      <c r="E169" s="1" t="str">
        <f>IFERROR(__xludf.DUMMYFUNCTION("""COMPUTED_VALUE"""),"Stone Fruits, Sweeteners")</f>
        <v>Stone Fruits, Sweeteners</v>
      </c>
      <c r="K169" s="1" t="s">
        <v>394</v>
      </c>
      <c r="M169" s="1" t="s">
        <v>44</v>
      </c>
    </row>
    <row r="170" ht="15.75" customHeight="1">
      <c r="A170" s="1" t="s">
        <v>399</v>
      </c>
      <c r="C170" s="1" t="s">
        <v>19</v>
      </c>
      <c r="D170" s="1" t="s">
        <v>400</v>
      </c>
      <c r="E170" s="1" t="str">
        <f>IFERROR(__xludf.DUMMYFUNCTION("""COMPUTED_VALUE"""),"Other")</f>
        <v>Other</v>
      </c>
      <c r="N170" s="1" t="s">
        <v>166</v>
      </c>
    </row>
    <row r="171" ht="15.75" customHeight="1">
      <c r="A171" s="1" t="s">
        <v>401</v>
      </c>
      <c r="C171" s="1" t="s">
        <v>14</v>
      </c>
      <c r="D171" s="1" t="s">
        <v>402</v>
      </c>
      <c r="E171" s="1" t="str">
        <f>IFERROR(__xludf.DUMMYFUNCTION("""COMPUTED_VALUE"""),"Citrus, Sweeteners")</f>
        <v>Citrus, Sweeteners</v>
      </c>
      <c r="K171" s="1" t="s">
        <v>156</v>
      </c>
      <c r="M171" s="1" t="s">
        <v>44</v>
      </c>
    </row>
    <row r="172" ht="15.75" customHeight="1">
      <c r="A172" s="1" t="s">
        <v>403</v>
      </c>
      <c r="C172" s="1" t="s">
        <v>19</v>
      </c>
      <c r="D172" s="1" t="s">
        <v>404</v>
      </c>
      <c r="E172" s="1" t="str">
        <f>IFERROR(__xludf.DUMMYFUNCTION("""COMPUTED_VALUE"""),"Stone Fruits, Sweeteners")</f>
        <v>Stone Fruits, Sweeteners</v>
      </c>
      <c r="K172" s="1" t="s">
        <v>394</v>
      </c>
      <c r="M172" s="1" t="s">
        <v>44</v>
      </c>
    </row>
    <row r="173" ht="15.75" customHeight="1">
      <c r="A173" s="1" t="s">
        <v>405</v>
      </c>
      <c r="C173" s="1" t="s">
        <v>19</v>
      </c>
      <c r="D173" s="1" t="s">
        <v>406</v>
      </c>
      <c r="E173" s="1" t="str">
        <f>IFERROR(__xludf.DUMMYFUNCTION("""COMPUTED_VALUE"""),"Dairy, Sweeteners")</f>
        <v>Dairy, Sweeteners</v>
      </c>
      <c r="F173" s="1" t="s">
        <v>21</v>
      </c>
      <c r="M173" s="1" t="s">
        <v>44</v>
      </c>
    </row>
    <row r="174" ht="15.75" customHeight="1">
      <c r="A174" s="1" t="s">
        <v>407</v>
      </c>
      <c r="C174" s="1" t="s">
        <v>14</v>
      </c>
      <c r="D174" s="1" t="s">
        <v>408</v>
      </c>
      <c r="E174" s="1" t="str">
        <f>IFERROR(__xludf.DUMMYFUNCTION("""COMPUTED_VALUE"""),"Sweeteners")</f>
        <v>Sweeteners</v>
      </c>
      <c r="M174" s="1" t="s">
        <v>44</v>
      </c>
    </row>
    <row r="175" ht="15.75" customHeight="1">
      <c r="A175" s="1" t="s">
        <v>409</v>
      </c>
      <c r="C175" s="1" t="s">
        <v>14</v>
      </c>
      <c r="D175" s="1" t="s">
        <v>410</v>
      </c>
      <c r="E175" s="1" t="str">
        <f>IFERROR(__xludf.DUMMYFUNCTION("""COMPUTED_VALUE"""),"Gluten-Free Grains")</f>
        <v>Gluten-Free Grains</v>
      </c>
      <c r="H175" s="1" t="s">
        <v>80</v>
      </c>
    </row>
    <row r="176" ht="15.75" customHeight="1">
      <c r="A176" s="1" t="s">
        <v>411</v>
      </c>
      <c r="C176" s="1" t="s">
        <v>14</v>
      </c>
      <c r="D176" s="1" t="s">
        <v>412</v>
      </c>
      <c r="E176" s="1" t="str">
        <f>IFERROR(__xludf.DUMMYFUNCTION("""COMPUTED_VALUE"""),"Sweeteners")</f>
        <v>Sweeteners</v>
      </c>
      <c r="M176" s="1" t="s">
        <v>44</v>
      </c>
    </row>
    <row r="177" ht="15.75" customHeight="1">
      <c r="A177" s="1" t="s">
        <v>413</v>
      </c>
      <c r="C177" s="1" t="s">
        <v>14</v>
      </c>
      <c r="D177" s="1" t="s">
        <v>414</v>
      </c>
      <c r="E177" s="1" t="str">
        <f>IFERROR(__xludf.DUMMYFUNCTION("""COMPUTED_VALUE"""),"Nightshades, Alliums, Dried Herbs &amp; Spices")</f>
        <v>Nightshades, Alliums, Dried Herbs &amp; Spices</v>
      </c>
      <c r="J177" s="1" t="s">
        <v>313</v>
      </c>
      <c r="L177" s="1" t="s">
        <v>17</v>
      </c>
    </row>
    <row r="178" ht="15.75" customHeight="1">
      <c r="A178" s="1" t="s">
        <v>415</v>
      </c>
      <c r="C178" s="1" t="s">
        <v>19</v>
      </c>
      <c r="D178" s="1" t="s">
        <v>416</v>
      </c>
      <c r="E178" s="1" t="str">
        <f>IFERROR(__xludf.DUMMYFUNCTION("""COMPUTED_VALUE"""),"Leafy Greens, Alliums, Spicy")</f>
        <v>Leafy Greens, Alliums, Spicy</v>
      </c>
      <c r="J178" s="1" t="s">
        <v>417</v>
      </c>
      <c r="L178" s="1" t="s">
        <v>51</v>
      </c>
    </row>
    <row r="179" ht="15.75" customHeight="1">
      <c r="A179" s="1" t="s">
        <v>418</v>
      </c>
      <c r="C179" s="1" t="s">
        <v>14</v>
      </c>
      <c r="D179" s="1" t="s">
        <v>419</v>
      </c>
      <c r="E179" s="1" t="str">
        <f>IFERROR(__xludf.DUMMYFUNCTION("""COMPUTED_VALUE"""),"Dairy")</f>
        <v>Dairy</v>
      </c>
      <c r="F179" s="1" t="s">
        <v>21</v>
      </c>
    </row>
    <row r="180" ht="15.75" customHeight="1">
      <c r="A180" s="1" t="s">
        <v>420</v>
      </c>
      <c r="C180" s="1" t="s">
        <v>14</v>
      </c>
      <c r="D180" s="1" t="s">
        <v>421</v>
      </c>
      <c r="E180" s="1" t="str">
        <f>IFERROR(__xludf.DUMMYFUNCTION("""COMPUTED_VALUE"""),"Dairy")</f>
        <v>Dairy</v>
      </c>
      <c r="F180" s="1" t="s">
        <v>21</v>
      </c>
    </row>
    <row r="181" ht="15.75" customHeight="1">
      <c r="A181" s="1" t="s">
        <v>422</v>
      </c>
      <c r="C181" s="1" t="s">
        <v>14</v>
      </c>
      <c r="D181" s="1" t="s">
        <v>423</v>
      </c>
      <c r="E181" s="1" t="str">
        <f>IFERROR(__xludf.DUMMYFUNCTION("""COMPUTED_VALUE"""),"Dairy, Sweeteners, Caffeine")</f>
        <v>Dairy, Sweeteners, Caffeine</v>
      </c>
      <c r="F181" s="1" t="s">
        <v>21</v>
      </c>
      <c r="M181" s="1" t="s">
        <v>54</v>
      </c>
    </row>
    <row r="182" ht="15.75" customHeight="1">
      <c r="A182" s="1" t="s">
        <v>424</v>
      </c>
      <c r="C182" s="1" t="s">
        <v>14</v>
      </c>
      <c r="D182" s="1" t="s">
        <v>425</v>
      </c>
      <c r="E182" s="1" t="str">
        <f>IFERROR(__xludf.DUMMYFUNCTION("""COMPUTED_VALUE"""),"Dairy, Sweeteners")</f>
        <v>Dairy, Sweeteners</v>
      </c>
      <c r="F182" s="1" t="s">
        <v>21</v>
      </c>
      <c r="M182" s="1" t="s">
        <v>44</v>
      </c>
    </row>
    <row r="183" ht="15.75" customHeight="1">
      <c r="A183" s="1" t="s">
        <v>426</v>
      </c>
      <c r="C183" s="1" t="s">
        <v>14</v>
      </c>
      <c r="D183" s="1" t="s">
        <v>427</v>
      </c>
      <c r="E183" s="1" t="str">
        <f>IFERROR(__xludf.DUMMYFUNCTION("""COMPUTED_VALUE"""),"Dairy, Sweeteners")</f>
        <v>Dairy, Sweeteners</v>
      </c>
      <c r="F183" s="1" t="s">
        <v>21</v>
      </c>
      <c r="M183" s="1" t="s">
        <v>44</v>
      </c>
    </row>
    <row r="184" ht="15.75" customHeight="1">
      <c r="A184" s="1" t="s">
        <v>428</v>
      </c>
      <c r="C184" s="1" t="s">
        <v>14</v>
      </c>
      <c r="D184" s="1" t="s">
        <v>429</v>
      </c>
      <c r="E184" s="1" t="str">
        <f>IFERROR(__xludf.DUMMYFUNCTION("""COMPUTED_VALUE"""),"Dairy, Sweeteners")</f>
        <v>Dairy, Sweeteners</v>
      </c>
      <c r="F184" s="1" t="s">
        <v>21</v>
      </c>
      <c r="M184" s="1" t="s">
        <v>44</v>
      </c>
    </row>
    <row r="185" ht="15.75" customHeight="1">
      <c r="A185" s="1" t="s">
        <v>430</v>
      </c>
      <c r="C185" s="1" t="s">
        <v>14</v>
      </c>
      <c r="D185" s="1" t="s">
        <v>431</v>
      </c>
      <c r="E185" s="1" t="str">
        <f>IFERROR(__xludf.DUMMYFUNCTION("""COMPUTED_VALUE"""),"Wheat, Sweeteners")</f>
        <v>Wheat, Sweeteners</v>
      </c>
      <c r="H185" s="1" t="s">
        <v>31</v>
      </c>
      <c r="M185" s="1" t="s">
        <v>44</v>
      </c>
    </row>
    <row r="186" ht="15.75" customHeight="1">
      <c r="A186" s="1" t="s">
        <v>432</v>
      </c>
      <c r="C186" s="1" t="s">
        <v>14</v>
      </c>
      <c r="D186" s="1" t="s">
        <v>433</v>
      </c>
      <c r="E186" s="1" t="str">
        <f>IFERROR(__xludf.DUMMYFUNCTION("""COMPUTED_VALUE"""),"Dairy, Wheat, Tree Nuts, Soy, Sweeteners, Other")</f>
        <v>Dairy, Wheat, Tree Nuts, Soy, Sweeteners, Other</v>
      </c>
      <c r="F186" s="1" t="s">
        <v>21</v>
      </c>
      <c r="H186" s="1" t="s">
        <v>31</v>
      </c>
      <c r="I186" s="1" t="s">
        <v>434</v>
      </c>
      <c r="M186" s="1" t="s">
        <v>44</v>
      </c>
      <c r="N186" s="1" t="s">
        <v>166</v>
      </c>
    </row>
    <row r="187" ht="15.75" customHeight="1">
      <c r="A187" s="1" t="s">
        <v>435</v>
      </c>
      <c r="C187" s="1" t="s">
        <v>14</v>
      </c>
      <c r="D187" s="1" t="s">
        <v>436</v>
      </c>
      <c r="E187" s="1" t="str">
        <f>IFERROR(__xludf.DUMMYFUNCTION("""COMPUTED_VALUE"""),"Dairy, Wheat, Soy, Spicy, Sweeteners, Other")</f>
        <v>Dairy, Wheat, Soy, Spicy, Sweeteners, Other</v>
      </c>
      <c r="F187" s="1" t="s">
        <v>21</v>
      </c>
      <c r="H187" s="1" t="s">
        <v>31</v>
      </c>
      <c r="I187" s="1" t="s">
        <v>40</v>
      </c>
      <c r="L187" s="1" t="s">
        <v>51</v>
      </c>
      <c r="M187" s="1" t="s">
        <v>44</v>
      </c>
      <c r="N187" s="1" t="s">
        <v>166</v>
      </c>
    </row>
    <row r="188" ht="15.75" customHeight="1">
      <c r="A188" s="1" t="s">
        <v>437</v>
      </c>
      <c r="C188" s="1" t="s">
        <v>14</v>
      </c>
      <c r="D188" s="1" t="s">
        <v>438</v>
      </c>
      <c r="E188" s="1" t="str">
        <f>IFERROR(__xludf.DUMMYFUNCTION("""COMPUTED_VALUE"""),"Dairy, Wheat, Soy, Sweeteners")</f>
        <v>Dairy, Wheat, Soy, Sweeteners</v>
      </c>
      <c r="F188" s="1" t="s">
        <v>21</v>
      </c>
      <c r="H188" s="1" t="s">
        <v>31</v>
      </c>
      <c r="I188" s="1" t="s">
        <v>40</v>
      </c>
      <c r="M188" s="1" t="s">
        <v>44</v>
      </c>
    </row>
    <row r="189" ht="15.75" customHeight="1">
      <c r="A189" s="1" t="s">
        <v>439</v>
      </c>
      <c r="C189" s="1" t="s">
        <v>14</v>
      </c>
      <c r="D189" s="1" t="s">
        <v>440</v>
      </c>
      <c r="E189" s="1" t="str">
        <f>IFERROR(__xludf.DUMMYFUNCTION("""COMPUTED_VALUE"""),"Dairy, Wheat, Soy, Sweeteners")</f>
        <v>Dairy, Wheat, Soy, Sweeteners</v>
      </c>
      <c r="F189" s="1" t="s">
        <v>21</v>
      </c>
      <c r="H189" s="1" t="s">
        <v>31</v>
      </c>
      <c r="I189" s="1" t="s">
        <v>40</v>
      </c>
      <c r="M189" s="1" t="s">
        <v>44</v>
      </c>
    </row>
    <row r="190" ht="15.75" customHeight="1">
      <c r="A190" s="1" t="s">
        <v>441</v>
      </c>
      <c r="C190" s="1" t="s">
        <v>14</v>
      </c>
      <c r="D190" s="1" t="s">
        <v>442</v>
      </c>
      <c r="E190" s="1" t="str">
        <f>IFERROR(__xludf.DUMMYFUNCTION("""COMPUTED_VALUE"""),"Wheat, Soy, Spicy, Sweeteners")</f>
        <v>Wheat, Soy, Spicy, Sweeteners</v>
      </c>
      <c r="H190" s="1" t="s">
        <v>31</v>
      </c>
      <c r="I190" s="1" t="s">
        <v>40</v>
      </c>
      <c r="L190" s="1" t="s">
        <v>51</v>
      </c>
      <c r="M190" s="1" t="s">
        <v>44</v>
      </c>
    </row>
    <row r="191" ht="15.75" customHeight="1">
      <c r="A191" s="1" t="s">
        <v>443</v>
      </c>
      <c r="C191" s="1" t="s">
        <v>14</v>
      </c>
      <c r="D191" s="1" t="s">
        <v>444</v>
      </c>
      <c r="E191" s="1" t="str">
        <f>IFERROR(__xludf.DUMMYFUNCTION("""COMPUTED_VALUE"""),"Dairy, Wheat, Soy, Sweeteners")</f>
        <v>Dairy, Wheat, Soy, Sweeteners</v>
      </c>
      <c r="F191" s="1" t="s">
        <v>21</v>
      </c>
      <c r="H191" s="1" t="s">
        <v>31</v>
      </c>
      <c r="I191" s="1" t="s">
        <v>40</v>
      </c>
      <c r="M191" s="1" t="s">
        <v>44</v>
      </c>
    </row>
    <row r="192" ht="15.75" customHeight="1">
      <c r="A192" s="1" t="s">
        <v>445</v>
      </c>
      <c r="C192" s="1" t="s">
        <v>14</v>
      </c>
      <c r="D192" s="1" t="s">
        <v>446</v>
      </c>
      <c r="E192" s="1" t="str">
        <f>IFERROR(__xludf.DUMMYFUNCTION("""COMPUTED_VALUE"""),"Dairy, Wheat, Soy, Sweeteners")</f>
        <v>Dairy, Wheat, Soy, Sweeteners</v>
      </c>
      <c r="F192" s="1" t="s">
        <v>21</v>
      </c>
      <c r="H192" s="1" t="s">
        <v>31</v>
      </c>
      <c r="I192" s="1" t="s">
        <v>40</v>
      </c>
      <c r="M192" s="1" t="s">
        <v>44</v>
      </c>
    </row>
    <row r="193" ht="15.75" customHeight="1">
      <c r="A193" s="1" t="s">
        <v>447</v>
      </c>
      <c r="C193" s="1" t="s">
        <v>14</v>
      </c>
      <c r="D193" s="1" t="s">
        <v>448</v>
      </c>
      <c r="E193" s="1" t="str">
        <f>IFERROR(__xludf.DUMMYFUNCTION("""COMPUTED_VALUE"""),"Dairy, Wheat, Soy, Tree Nuts, Sweeteners")</f>
        <v>Dairy, Wheat, Soy, Tree Nuts, Sweeteners</v>
      </c>
      <c r="F193" s="1" t="s">
        <v>21</v>
      </c>
      <c r="H193" s="1" t="s">
        <v>31</v>
      </c>
      <c r="I193" s="1" t="s">
        <v>449</v>
      </c>
      <c r="M193" s="1" t="s">
        <v>44</v>
      </c>
    </row>
    <row r="194" ht="15.75" customHeight="1">
      <c r="A194" s="1" t="s">
        <v>450</v>
      </c>
      <c r="C194" s="1" t="s">
        <v>14</v>
      </c>
      <c r="D194" s="1" t="s">
        <v>451</v>
      </c>
      <c r="E194" s="1" t="str">
        <f>IFERROR(__xludf.DUMMYFUNCTION("""COMPUTED_VALUE"""),"Eggs, Wheat, Soy, Tree Nuts, Peanuts, Sweeteners, Other")</f>
        <v>Eggs, Wheat, Soy, Tree Nuts, Peanuts, Sweeteners, Other</v>
      </c>
      <c r="F194" s="1" t="s">
        <v>138</v>
      </c>
      <c r="H194" s="1" t="s">
        <v>31</v>
      </c>
      <c r="I194" s="1" t="s">
        <v>452</v>
      </c>
      <c r="M194" s="1" t="s">
        <v>44</v>
      </c>
      <c r="N194" s="1" t="s">
        <v>166</v>
      </c>
    </row>
    <row r="195" ht="15.75" customHeight="1">
      <c r="A195" s="1" t="s">
        <v>453</v>
      </c>
      <c r="C195" s="1" t="s">
        <v>14</v>
      </c>
      <c r="D195" s="1" t="s">
        <v>454</v>
      </c>
      <c r="E195" s="1" t="str">
        <f>IFERROR(__xludf.DUMMYFUNCTION("""COMPUTED_VALUE"""),"Dairy, Wheat, Soy, Tree Nuts, Sweeteners")</f>
        <v>Dairy, Wheat, Soy, Tree Nuts, Sweeteners</v>
      </c>
      <c r="F195" s="1" t="s">
        <v>21</v>
      </c>
      <c r="H195" s="1" t="s">
        <v>31</v>
      </c>
      <c r="I195" s="1" t="s">
        <v>449</v>
      </c>
      <c r="M195" s="1" t="s">
        <v>44</v>
      </c>
    </row>
    <row r="196" ht="15.75" customHeight="1">
      <c r="A196" s="1" t="s">
        <v>455</v>
      </c>
      <c r="C196" s="1" t="s">
        <v>14</v>
      </c>
      <c r="D196" s="1" t="s">
        <v>456</v>
      </c>
      <c r="E196" s="1" t="str">
        <f>IFERROR(__xludf.DUMMYFUNCTION("""COMPUTED_VALUE"""),"Dairy, Eggs, Wheat, Soy, Tree Nuts, Sweeteners")</f>
        <v>Dairy, Eggs, Wheat, Soy, Tree Nuts, Sweeteners</v>
      </c>
      <c r="F196" s="1" t="s">
        <v>16</v>
      </c>
      <c r="H196" s="1" t="s">
        <v>31</v>
      </c>
      <c r="I196" s="1" t="s">
        <v>449</v>
      </c>
      <c r="M196" s="1" t="s">
        <v>44</v>
      </c>
    </row>
    <row r="197" ht="15.75" customHeight="1">
      <c r="A197" s="1" t="s">
        <v>457</v>
      </c>
      <c r="C197" s="1" t="s">
        <v>14</v>
      </c>
      <c r="D197" s="1" t="s">
        <v>458</v>
      </c>
      <c r="E197" s="1" t="str">
        <f>IFERROR(__xludf.DUMMYFUNCTION("""COMPUTED_VALUE"""),"Dairy, Eggs, Wheat, Soy, Tree Nuts, Peanuts, Sweeteners")</f>
        <v>Dairy, Eggs, Wheat, Soy, Tree Nuts, Peanuts, Sweeteners</v>
      </c>
      <c r="F197" s="1" t="s">
        <v>16</v>
      </c>
      <c r="H197" s="1" t="s">
        <v>31</v>
      </c>
      <c r="I197" s="1" t="s">
        <v>452</v>
      </c>
      <c r="M197" s="1" t="s">
        <v>44</v>
      </c>
    </row>
    <row r="198" ht="15.75" customHeight="1">
      <c r="A198" s="1" t="s">
        <v>459</v>
      </c>
      <c r="C198" s="1" t="s">
        <v>14</v>
      </c>
      <c r="D198" s="1" t="s">
        <v>460</v>
      </c>
      <c r="E198" s="1" t="str">
        <f>IFERROR(__xludf.DUMMYFUNCTION("""COMPUTED_VALUE"""),"Eggs, Wheat, Soy, Peanuts, Tree Nuts, Sweeteners")</f>
        <v>Eggs, Wheat, Soy, Peanuts, Tree Nuts, Sweeteners</v>
      </c>
      <c r="F198" s="1" t="s">
        <v>138</v>
      </c>
      <c r="H198" s="1" t="s">
        <v>31</v>
      </c>
      <c r="I198" s="1" t="s">
        <v>461</v>
      </c>
      <c r="M198" s="1" t="s">
        <v>44</v>
      </c>
    </row>
    <row r="199" ht="15.75" customHeight="1">
      <c r="A199" s="1" t="s">
        <v>462</v>
      </c>
      <c r="C199" s="1" t="s">
        <v>14</v>
      </c>
      <c r="D199" s="1" t="s">
        <v>463</v>
      </c>
      <c r="E199" s="1" t="str">
        <f>IFERROR(__xludf.DUMMYFUNCTION("""COMPUTED_VALUE"""),"Wheat, Sweeteners, Other")</f>
        <v>Wheat, Sweeteners, Other</v>
      </c>
      <c r="H199" s="1" t="s">
        <v>31</v>
      </c>
      <c r="M199" s="1" t="s">
        <v>44</v>
      </c>
      <c r="N199" s="1" t="s">
        <v>166</v>
      </c>
    </row>
    <row r="200" ht="15.75" customHeight="1">
      <c r="A200" s="1" t="s">
        <v>464</v>
      </c>
      <c r="C200" s="1" t="s">
        <v>14</v>
      </c>
      <c r="D200" s="1" t="s">
        <v>465</v>
      </c>
      <c r="E200" s="1" t="str">
        <f>IFERROR(__xludf.DUMMYFUNCTION("""COMPUTED_VALUE"""),"Nightshades, Alliums, Spicy, Sweeteners, Other")</f>
        <v>Nightshades, Alliums, Spicy, Sweeteners, Other</v>
      </c>
      <c r="J200" s="1" t="s">
        <v>313</v>
      </c>
      <c r="L200" s="1" t="s">
        <v>51</v>
      </c>
      <c r="M200" s="1" t="s">
        <v>44</v>
      </c>
      <c r="N200" s="1" t="s">
        <v>166</v>
      </c>
    </row>
    <row r="201" ht="15.75" customHeight="1">
      <c r="A201" s="1" t="s">
        <v>466</v>
      </c>
      <c r="C201" s="1" t="s">
        <v>19</v>
      </c>
      <c r="D201" s="1" t="s">
        <v>467</v>
      </c>
      <c r="E201" s="1" t="str">
        <f>IFERROR(__xludf.DUMMYFUNCTION("""COMPUTED_VALUE"""),"Other")</f>
        <v>Other</v>
      </c>
      <c r="N201" s="1" t="s">
        <v>166</v>
      </c>
    </row>
    <row r="202" ht="15.75" customHeight="1">
      <c r="A202" s="1" t="s">
        <v>468</v>
      </c>
      <c r="C202" s="1" t="s">
        <v>19</v>
      </c>
      <c r="D202" s="1" t="s">
        <v>469</v>
      </c>
      <c r="E202" s="1" t="str">
        <f>IFERROR(__xludf.DUMMYFUNCTION("""COMPUTED_VALUE"""),"Other")</f>
        <v>Other</v>
      </c>
      <c r="N202" s="1" t="s">
        <v>166</v>
      </c>
    </row>
    <row r="203" ht="15.75" customHeight="1">
      <c r="A203" s="1" t="s">
        <v>470</v>
      </c>
      <c r="C203" s="1" t="s">
        <v>19</v>
      </c>
      <c r="D203" s="1" t="s">
        <v>471</v>
      </c>
      <c r="E203" s="1" t="str">
        <f>IFERROR(__xludf.DUMMYFUNCTION("""COMPUTED_VALUE"""),"Other")</f>
        <v>Other</v>
      </c>
      <c r="N203" s="1" t="s">
        <v>166</v>
      </c>
    </row>
    <row r="204" ht="15.75" customHeight="1">
      <c r="A204" s="1" t="s">
        <v>472</v>
      </c>
      <c r="C204" s="1" t="s">
        <v>19</v>
      </c>
      <c r="D204" s="1" t="s">
        <v>473</v>
      </c>
      <c r="E204" s="1" t="str">
        <f>IFERROR(__xludf.DUMMYFUNCTION("""COMPUTED_VALUE"""),"Dairy, Alliums, Sweeteners")</f>
        <v>Dairy, Alliums, Sweeteners</v>
      </c>
      <c r="F204" s="1" t="s">
        <v>21</v>
      </c>
      <c r="J204" s="1" t="s">
        <v>126</v>
      </c>
      <c r="M204" s="1" t="s">
        <v>44</v>
      </c>
    </row>
    <row r="205" ht="15.75" customHeight="1">
      <c r="A205" s="1" t="s">
        <v>474</v>
      </c>
      <c r="C205" s="1" t="s">
        <v>19</v>
      </c>
      <c r="D205" s="1" t="s">
        <v>475</v>
      </c>
      <c r="E205" s="1" t="str">
        <f>IFERROR(__xludf.DUMMYFUNCTION("""COMPUTED_VALUE"""),"Other")</f>
        <v>Other</v>
      </c>
      <c r="N205" s="1" t="s">
        <v>166</v>
      </c>
    </row>
    <row r="206" ht="15.75" customHeight="1">
      <c r="A206" s="1" t="s">
        <v>476</v>
      </c>
      <c r="C206" s="1" t="s">
        <v>19</v>
      </c>
      <c r="D206" s="1" t="s">
        <v>477</v>
      </c>
      <c r="E206" s="1" t="str">
        <f>IFERROR(__xludf.DUMMYFUNCTION("""COMPUTED_VALUE"""),"Other")</f>
        <v>Other</v>
      </c>
      <c r="N206" s="1" t="s">
        <v>166</v>
      </c>
    </row>
    <row r="207" ht="15.75" customHeight="1">
      <c r="A207" s="1" t="s">
        <v>478</v>
      </c>
      <c r="C207" s="1" t="s">
        <v>19</v>
      </c>
      <c r="D207" s="1" t="s">
        <v>479</v>
      </c>
      <c r="E207" s="1" t="str">
        <f>IFERROR(__xludf.DUMMYFUNCTION("""COMPUTED_VALUE"""),"Leafy Greens, Cruciferous")</f>
        <v>Leafy Greens, Cruciferous</v>
      </c>
      <c r="J207" s="1" t="s">
        <v>67</v>
      </c>
    </row>
    <row r="208" ht="15.75" customHeight="1">
      <c r="A208" s="1" t="s">
        <v>480</v>
      </c>
      <c r="C208" s="1" t="s">
        <v>19</v>
      </c>
      <c r="D208" s="1" t="s">
        <v>481</v>
      </c>
      <c r="E208" s="1" t="str">
        <f>IFERROR(__xludf.DUMMYFUNCTION("""COMPUTED_VALUE"""),"Other")</f>
        <v>Other</v>
      </c>
      <c r="N208" s="1" t="s">
        <v>166</v>
      </c>
    </row>
    <row r="209" ht="15.75" customHeight="1">
      <c r="A209" s="1" t="s">
        <v>482</v>
      </c>
      <c r="C209" s="1" t="s">
        <v>14</v>
      </c>
      <c r="D209" s="1" t="s">
        <v>483</v>
      </c>
      <c r="E209" s="1" t="str">
        <f>IFERROR(__xludf.DUMMYFUNCTION("""COMPUTED_VALUE"""),"Dairy, Soy, Sweeteners, Caffeine, Other")</f>
        <v>Dairy, Soy, Sweeteners, Caffeine, Other</v>
      </c>
      <c r="F209" s="1" t="s">
        <v>21</v>
      </c>
      <c r="I209" s="1" t="s">
        <v>40</v>
      </c>
      <c r="M209" s="1" t="s">
        <v>54</v>
      </c>
      <c r="N209" s="1" t="s">
        <v>166</v>
      </c>
    </row>
    <row r="210" ht="15.75" customHeight="1">
      <c r="A210" s="1" t="s">
        <v>484</v>
      </c>
      <c r="C210" s="1" t="s">
        <v>19</v>
      </c>
      <c r="D210" s="1" t="s">
        <v>485</v>
      </c>
      <c r="E210" s="1" t="str">
        <f>IFERROR(__xludf.DUMMYFUNCTION("""COMPUTED_VALUE"""),"Alliums, Spicy, Sweeteners, Other")</f>
        <v>Alliums, Spicy, Sweeteners, Other</v>
      </c>
      <c r="J210" s="1" t="s">
        <v>126</v>
      </c>
      <c r="L210" s="1" t="s">
        <v>51</v>
      </c>
      <c r="M210" s="1" t="s">
        <v>44</v>
      </c>
      <c r="N210" s="1" t="s">
        <v>166</v>
      </c>
    </row>
    <row r="211" ht="15.75" customHeight="1">
      <c r="A211" s="1" t="s">
        <v>486</v>
      </c>
      <c r="C211" s="1" t="s">
        <v>19</v>
      </c>
      <c r="D211" s="1" t="s">
        <v>487</v>
      </c>
      <c r="E211" s="1" t="str">
        <f>IFERROR(__xludf.DUMMYFUNCTION("""COMPUTED_VALUE"""),"Other")</f>
        <v>Other</v>
      </c>
      <c r="N211" s="1" t="s">
        <v>166</v>
      </c>
    </row>
    <row r="212" ht="15.75" customHeight="1">
      <c r="A212" s="1" t="s">
        <v>488</v>
      </c>
      <c r="C212" s="1" t="s">
        <v>14</v>
      </c>
      <c r="D212" s="1" t="s">
        <v>489</v>
      </c>
      <c r="E212" s="1" t="str">
        <f>IFERROR(__xludf.DUMMYFUNCTION("""COMPUTED_VALUE"""),"Soy, Leafy Greens, Sweeteners")</f>
        <v>Soy, Leafy Greens, Sweeteners</v>
      </c>
      <c r="I212" s="1" t="s">
        <v>40</v>
      </c>
      <c r="J212" s="1" t="s">
        <v>320</v>
      </c>
      <c r="M212" s="1" t="s">
        <v>44</v>
      </c>
    </row>
    <row r="213" ht="15.75" customHeight="1">
      <c r="A213" s="1" t="s">
        <v>490</v>
      </c>
      <c r="C213" s="1" t="s">
        <v>14</v>
      </c>
      <c r="D213" s="1" t="s">
        <v>491</v>
      </c>
      <c r="E213" s="1" t="str">
        <f>IFERROR(__xludf.DUMMYFUNCTION("""COMPUTED_VALUE"""),"Soy, Leafy Greens, Alliums, Spicy, Sweeteners")</f>
        <v>Soy, Leafy Greens, Alliums, Spicy, Sweeteners</v>
      </c>
      <c r="I213" s="1" t="s">
        <v>40</v>
      </c>
      <c r="J213" s="1" t="s">
        <v>417</v>
      </c>
      <c r="L213" s="1" t="s">
        <v>51</v>
      </c>
      <c r="M213" s="1" t="s">
        <v>44</v>
      </c>
    </row>
    <row r="214" ht="15.75" customHeight="1">
      <c r="A214" s="1" t="s">
        <v>492</v>
      </c>
      <c r="C214" s="1" t="s">
        <v>19</v>
      </c>
      <c r="D214" s="1" t="s">
        <v>493</v>
      </c>
      <c r="E214" s="1" t="str">
        <f>IFERROR(__xludf.DUMMYFUNCTION("""COMPUTED_VALUE"""),"Other")</f>
        <v>Other</v>
      </c>
      <c r="N214" s="1" t="s">
        <v>166</v>
      </c>
    </row>
    <row r="215" ht="15.75" customHeight="1">
      <c r="A215" s="1" t="s">
        <v>494</v>
      </c>
      <c r="C215" s="1" t="s">
        <v>19</v>
      </c>
      <c r="D215" s="1" t="s">
        <v>495</v>
      </c>
      <c r="E215" s="1" t="str">
        <f>IFERROR(__xludf.DUMMYFUNCTION("""COMPUTED_VALUE"""),"Sweeteners")</f>
        <v>Sweeteners</v>
      </c>
      <c r="M215" s="1" t="s">
        <v>44</v>
      </c>
    </row>
    <row r="216" ht="15.75" customHeight="1">
      <c r="A216" s="1" t="s">
        <v>496</v>
      </c>
      <c r="C216" s="1" t="s">
        <v>19</v>
      </c>
      <c r="D216" s="1" t="s">
        <v>497</v>
      </c>
      <c r="E216" s="1" t="str">
        <f>IFERROR(__xludf.DUMMYFUNCTION("""COMPUTED_VALUE"""),"Fish")</f>
        <v>Fish</v>
      </c>
      <c r="F216" s="1" t="s">
        <v>198</v>
      </c>
    </row>
    <row r="217" ht="15.75" customHeight="1">
      <c r="A217" s="1" t="s">
        <v>498</v>
      </c>
      <c r="C217" s="1" t="s">
        <v>19</v>
      </c>
      <c r="D217" s="1" t="s">
        <v>499</v>
      </c>
      <c r="E217" s="1" t="str">
        <f>IFERROR(__xludf.DUMMYFUNCTION("""COMPUTED_VALUE"""),"Fish")</f>
        <v>Fish</v>
      </c>
      <c r="F217" s="1" t="s">
        <v>198</v>
      </c>
    </row>
    <row r="218" ht="15.75" customHeight="1">
      <c r="A218" s="1" t="s">
        <v>500</v>
      </c>
      <c r="C218" s="1" t="s">
        <v>19</v>
      </c>
      <c r="D218" s="1" t="s">
        <v>501</v>
      </c>
      <c r="E218" s="1" t="str">
        <f>IFERROR(__xludf.DUMMYFUNCTION("""COMPUTED_VALUE"""),"Fish, Shellfish, Other")</f>
        <v>Fish, Shellfish, Other</v>
      </c>
      <c r="F218" s="1" t="s">
        <v>502</v>
      </c>
      <c r="N218" s="1" t="s">
        <v>166</v>
      </c>
    </row>
    <row r="219" ht="15.75" customHeight="1">
      <c r="A219" s="1" t="s">
        <v>503</v>
      </c>
      <c r="C219" s="1" t="s">
        <v>19</v>
      </c>
      <c r="D219" s="1" t="s">
        <v>504</v>
      </c>
      <c r="E219" s="1" t="str">
        <f>IFERROR(__xludf.DUMMYFUNCTION("""COMPUTED_VALUE"""),"Fish, Dairy, Other")</f>
        <v>Fish, Dairy, Other</v>
      </c>
      <c r="F219" s="1" t="s">
        <v>340</v>
      </c>
      <c r="N219" s="1" t="s">
        <v>166</v>
      </c>
    </row>
    <row r="220" ht="15.75" customHeight="1">
      <c r="A220" s="1" t="s">
        <v>505</v>
      </c>
      <c r="C220" s="1" t="s">
        <v>19</v>
      </c>
      <c r="D220" s="1" t="s">
        <v>506</v>
      </c>
      <c r="E220" s="1" t="str">
        <f>IFERROR(__xludf.DUMMYFUNCTION("""COMPUTED_VALUE"""),"Fish")</f>
        <v>Fish</v>
      </c>
      <c r="F220" s="1" t="s">
        <v>198</v>
      </c>
    </row>
    <row r="221" ht="15.75" customHeight="1">
      <c r="A221" s="1" t="s">
        <v>507</v>
      </c>
      <c r="C221" s="1" t="s">
        <v>19</v>
      </c>
      <c r="D221" s="1" t="s">
        <v>508</v>
      </c>
      <c r="E221" s="1" t="str">
        <f>IFERROR(__xludf.DUMMYFUNCTION("""COMPUTED_VALUE"""),"Fish")</f>
        <v>Fish</v>
      </c>
      <c r="F221" s="1" t="s">
        <v>198</v>
      </c>
    </row>
    <row r="222" ht="15.75" customHeight="1">
      <c r="A222" s="1" t="s">
        <v>509</v>
      </c>
      <c r="C222" s="1" t="s">
        <v>19</v>
      </c>
      <c r="D222" s="1" t="s">
        <v>510</v>
      </c>
      <c r="E222" s="1" t="str">
        <f>IFERROR(__xludf.DUMMYFUNCTION("""COMPUTED_VALUE"""),"Fish")</f>
        <v>Fish</v>
      </c>
      <c r="F222" s="1" t="s">
        <v>198</v>
      </c>
    </row>
    <row r="223" ht="15.75" customHeight="1">
      <c r="A223" s="1" t="s">
        <v>511</v>
      </c>
      <c r="C223" s="1" t="s">
        <v>19</v>
      </c>
      <c r="D223" s="1" t="s">
        <v>512</v>
      </c>
      <c r="E223" s="1" t="str">
        <f>IFERROR(__xludf.DUMMYFUNCTION("""COMPUTED_VALUE"""),"Fish")</f>
        <v>Fish</v>
      </c>
      <c r="F223" s="1" t="s">
        <v>198</v>
      </c>
    </row>
    <row r="224" ht="15.75" customHeight="1">
      <c r="A224" s="1" t="s">
        <v>513</v>
      </c>
      <c r="C224" s="1" t="s">
        <v>19</v>
      </c>
      <c r="D224" s="1" t="s">
        <v>514</v>
      </c>
      <c r="E224" s="1" t="str">
        <f>IFERROR(__xludf.DUMMYFUNCTION("""COMPUTED_VALUE"""),"Fish, Alliums, Dried Herbs &amp; Spices, Alcohol, Other")</f>
        <v>Fish, Alliums, Dried Herbs &amp; Spices, Alcohol, Other</v>
      </c>
      <c r="F224" s="1" t="s">
        <v>198</v>
      </c>
      <c r="J224" s="1" t="s">
        <v>126</v>
      </c>
      <c r="L224" s="1" t="s">
        <v>17</v>
      </c>
      <c r="M224" s="1" t="s">
        <v>213</v>
      </c>
      <c r="N224" s="1" t="s">
        <v>166</v>
      </c>
    </row>
    <row r="225" ht="15.75" customHeight="1">
      <c r="A225" s="1" t="s">
        <v>515</v>
      </c>
      <c r="C225" s="1" t="s">
        <v>19</v>
      </c>
      <c r="D225" s="1" t="s">
        <v>516</v>
      </c>
      <c r="E225" s="1" t="str">
        <f>IFERROR(__xludf.DUMMYFUNCTION("""COMPUTED_VALUE"""),"Fish")</f>
        <v>Fish</v>
      </c>
      <c r="F225" s="1" t="s">
        <v>198</v>
      </c>
    </row>
    <row r="226" ht="15.75" customHeight="1">
      <c r="A226" s="1" t="s">
        <v>517</v>
      </c>
      <c r="C226" s="1" t="s">
        <v>19</v>
      </c>
      <c r="D226" s="1" t="s">
        <v>518</v>
      </c>
      <c r="E226" s="1" t="str">
        <f>IFERROR(__xludf.DUMMYFUNCTION("""COMPUTED_VALUE"""),"Fish, Dairy, Alliums, Fresh Herbs, Spicy, Alcohol, Sweeteners, Other")</f>
        <v>Fish, Dairy, Alliums, Fresh Herbs, Spicy, Alcohol, Sweeteners, Other</v>
      </c>
      <c r="F226" s="1" t="s">
        <v>340</v>
      </c>
      <c r="J226" s="1" t="s">
        <v>126</v>
      </c>
      <c r="L226" s="1" t="s">
        <v>204</v>
      </c>
      <c r="M226" s="1" t="s">
        <v>519</v>
      </c>
      <c r="N226" s="1" t="s">
        <v>166</v>
      </c>
    </row>
    <row r="227" ht="15.75" customHeight="1">
      <c r="A227" s="1" t="s">
        <v>520</v>
      </c>
      <c r="C227" s="1" t="s">
        <v>14</v>
      </c>
      <c r="D227" s="1" t="s">
        <v>521</v>
      </c>
      <c r="E227" s="1" t="str">
        <f>IFERROR(__xludf.DUMMYFUNCTION("""COMPUTED_VALUE"""),"Wheat")</f>
        <v>Wheat</v>
      </c>
      <c r="H227" s="1" t="s">
        <v>31</v>
      </c>
    </row>
    <row r="228" ht="15.75" customHeight="1">
      <c r="A228" s="1" t="s">
        <v>522</v>
      </c>
      <c r="C228" s="1" t="s">
        <v>19</v>
      </c>
      <c r="D228" s="1" t="s">
        <v>523</v>
      </c>
      <c r="E228" s="1" t="str">
        <f>IFERROR(__xludf.DUMMYFUNCTION("""COMPUTED_VALUE"""),"Dairy, Wheat, Potatoes, Dried Herbs &amp; Spices")</f>
        <v>Dairy, Wheat, Potatoes, Dried Herbs &amp; Spices</v>
      </c>
      <c r="F228" s="1" t="s">
        <v>21</v>
      </c>
      <c r="H228" s="1" t="s">
        <v>524</v>
      </c>
      <c r="L228" s="1" t="s">
        <v>17</v>
      </c>
    </row>
    <row r="229" ht="15.75" customHeight="1">
      <c r="A229" s="1" t="s">
        <v>525</v>
      </c>
      <c r="C229" s="1" t="s">
        <v>19</v>
      </c>
      <c r="D229" s="1" t="s">
        <v>526</v>
      </c>
      <c r="E229" s="1" t="str">
        <f>IFERROR(__xludf.DUMMYFUNCTION("""COMPUTED_VALUE"""),"Beef, Alliums, Dried Herbs &amp; Spices, Sweeteners, Other")</f>
        <v>Beef, Alliums, Dried Herbs &amp; Spices, Sweeteners, Other</v>
      </c>
      <c r="F229" s="1" t="s">
        <v>91</v>
      </c>
      <c r="J229" s="1" t="s">
        <v>126</v>
      </c>
      <c r="L229" s="1" t="s">
        <v>17</v>
      </c>
      <c r="M229" s="1" t="s">
        <v>44</v>
      </c>
      <c r="N229" s="1" t="s">
        <v>166</v>
      </c>
    </row>
    <row r="230" ht="15.75" customHeight="1">
      <c r="A230" s="1" t="s">
        <v>527</v>
      </c>
      <c r="C230" s="1" t="s">
        <v>19</v>
      </c>
      <c r="D230" s="1" t="s">
        <v>528</v>
      </c>
      <c r="E230" s="1" t="str">
        <f>IFERROR(__xludf.DUMMYFUNCTION("""COMPUTED_VALUE"""),"Beef, Soy, Alliums, Fresh Herbs, Sweeteners, Other")</f>
        <v>Beef, Soy, Alliums, Fresh Herbs, Sweeteners, Other</v>
      </c>
      <c r="F230" s="1" t="s">
        <v>91</v>
      </c>
      <c r="I230" s="1" t="s">
        <v>40</v>
      </c>
      <c r="J230" s="1" t="s">
        <v>126</v>
      </c>
      <c r="L230" s="1" t="s">
        <v>529</v>
      </c>
      <c r="M230" s="1" t="s">
        <v>44</v>
      </c>
      <c r="N230" s="1" t="s">
        <v>166</v>
      </c>
    </row>
    <row r="231" ht="15.75" customHeight="1">
      <c r="A231" s="1" t="s">
        <v>530</v>
      </c>
      <c r="C231" s="1" t="s">
        <v>14</v>
      </c>
      <c r="D231" s="1" t="s">
        <v>531</v>
      </c>
      <c r="E231" s="1" t="str">
        <f>IFERROR(__xludf.DUMMYFUNCTION("""COMPUTED_VALUE"""),"Dairy, Eggs, Corn, Wheat, Stone Fruits, Sweeteners")</f>
        <v>Dairy, Eggs, Corn, Wheat, Stone Fruits, Sweeteners</v>
      </c>
      <c r="F231" s="1" t="s">
        <v>16</v>
      </c>
      <c r="H231" s="1" t="s">
        <v>532</v>
      </c>
      <c r="K231" s="1" t="s">
        <v>394</v>
      </c>
      <c r="M231" s="1" t="s">
        <v>44</v>
      </c>
    </row>
    <row r="232" ht="15.75" customHeight="1">
      <c r="A232" s="1" t="s">
        <v>533</v>
      </c>
      <c r="B232" s="1" t="s">
        <v>534</v>
      </c>
      <c r="C232" s="1" t="s">
        <v>14</v>
      </c>
      <c r="D232" s="1" t="s">
        <v>535</v>
      </c>
      <c r="E232" s="1" t="str">
        <f>IFERROR(__xludf.DUMMYFUNCTION("""COMPUTED_VALUE"""),"Corn, Sweeteners")</f>
        <v>Corn, Sweeteners</v>
      </c>
      <c r="H232" s="1" t="s">
        <v>161</v>
      </c>
      <c r="M232" s="1" t="s">
        <v>44</v>
      </c>
    </row>
    <row r="233" ht="15.75" customHeight="1">
      <c r="A233" s="1" t="s">
        <v>536</v>
      </c>
      <c r="C233" s="1" t="s">
        <v>14</v>
      </c>
      <c r="D233" s="1" t="s">
        <v>537</v>
      </c>
      <c r="E233" s="1" t="str">
        <f>IFERROR(__xludf.DUMMYFUNCTION("""COMPUTED_VALUE"""),"Sweeteners")</f>
        <v>Sweeteners</v>
      </c>
      <c r="M233" s="1" t="s">
        <v>44</v>
      </c>
    </row>
    <row r="234" ht="15.75" customHeight="1">
      <c r="A234" s="1" t="s">
        <v>538</v>
      </c>
      <c r="C234" s="1" t="s">
        <v>14</v>
      </c>
      <c r="D234" s="1" t="s">
        <v>539</v>
      </c>
      <c r="E234" s="1" t="str">
        <f>IFERROR(__xludf.DUMMYFUNCTION("""COMPUTED_VALUE"""),"Sweeteners")</f>
        <v>Sweeteners</v>
      </c>
      <c r="M234" s="1" t="s">
        <v>44</v>
      </c>
    </row>
    <row r="235" ht="15.75" customHeight="1">
      <c r="A235" s="1" t="s">
        <v>540</v>
      </c>
      <c r="C235" s="1" t="s">
        <v>19</v>
      </c>
      <c r="D235" s="1" t="s">
        <v>541</v>
      </c>
      <c r="E235" s="1" t="str">
        <f>IFERROR(__xludf.DUMMYFUNCTION("""COMPUTED_VALUE"""),"Lamb")</f>
        <v>Lamb</v>
      </c>
      <c r="F235" s="1" t="s">
        <v>542</v>
      </c>
    </row>
    <row r="236" ht="15.75" customHeight="1">
      <c r="A236" s="1" t="s">
        <v>543</v>
      </c>
      <c r="C236" s="1" t="s">
        <v>19</v>
      </c>
      <c r="D236" s="1" t="s">
        <v>544</v>
      </c>
      <c r="E236" s="1" t="str">
        <f>IFERROR(__xludf.DUMMYFUNCTION("""COMPUTED_VALUE"""),"Lamb")</f>
        <v>Lamb</v>
      </c>
      <c r="F236" s="1" t="s">
        <v>542</v>
      </c>
    </row>
    <row r="237" ht="15.75" customHeight="1">
      <c r="A237" s="1" t="s">
        <v>545</v>
      </c>
      <c r="C237" s="1" t="s">
        <v>19</v>
      </c>
      <c r="D237" s="1" t="s">
        <v>546</v>
      </c>
      <c r="E237" s="1" t="str">
        <f>IFERROR(__xludf.DUMMYFUNCTION("""COMPUTED_VALUE"""),"Lamb")</f>
        <v>Lamb</v>
      </c>
      <c r="F237" s="1" t="s">
        <v>542</v>
      </c>
    </row>
    <row r="238" ht="15.75" customHeight="1">
      <c r="A238" s="1" t="s">
        <v>547</v>
      </c>
      <c r="C238" s="1" t="s">
        <v>19</v>
      </c>
      <c r="D238" s="1" t="s">
        <v>548</v>
      </c>
      <c r="E238" s="1" t="str">
        <f>IFERROR(__xludf.DUMMYFUNCTION("""COMPUTED_VALUE"""),"Lamb")</f>
        <v>Lamb</v>
      </c>
      <c r="F238" s="1" t="s">
        <v>542</v>
      </c>
    </row>
    <row r="239" ht="15.75" customHeight="1">
      <c r="A239" s="1" t="s">
        <v>549</v>
      </c>
      <c r="C239" s="1" t="s">
        <v>19</v>
      </c>
      <c r="D239" s="1" t="s">
        <v>550</v>
      </c>
      <c r="E239" s="1" t="str">
        <f>IFERROR(__xludf.DUMMYFUNCTION("""COMPUTED_VALUE"""),"Lamb")</f>
        <v>Lamb</v>
      </c>
      <c r="F239" s="1" t="s">
        <v>542</v>
      </c>
    </row>
    <row r="240" ht="15.75" customHeight="1">
      <c r="A240" s="1" t="s">
        <v>551</v>
      </c>
      <c r="C240" s="1" t="s">
        <v>19</v>
      </c>
      <c r="D240" s="1" t="s">
        <v>552</v>
      </c>
      <c r="E240" s="1" t="str">
        <f>IFERROR(__xludf.DUMMYFUNCTION("""COMPUTED_VALUE"""),"Lamb")</f>
        <v>Lamb</v>
      </c>
      <c r="F240" s="1" t="s">
        <v>542</v>
      </c>
    </row>
    <row r="241" ht="15.75" customHeight="1">
      <c r="A241" s="1" t="s">
        <v>553</v>
      </c>
      <c r="C241" s="1" t="s">
        <v>19</v>
      </c>
      <c r="D241" s="1" t="s">
        <v>554</v>
      </c>
      <c r="E241" s="1" t="str">
        <f>IFERROR(__xludf.DUMMYFUNCTION("""COMPUTED_VALUE"""),"Lamb")</f>
        <v>Lamb</v>
      </c>
      <c r="F241" s="1" t="s">
        <v>542</v>
      </c>
    </row>
    <row r="242" ht="15.75" customHeight="1">
      <c r="A242" s="1" t="s">
        <v>555</v>
      </c>
      <c r="C242" s="1" t="s">
        <v>19</v>
      </c>
      <c r="D242" s="1" t="s">
        <v>556</v>
      </c>
      <c r="E242" s="1" t="str">
        <f>IFERROR(__xludf.DUMMYFUNCTION("""COMPUTED_VALUE"""),"Lamb")</f>
        <v>Lamb</v>
      </c>
      <c r="F242" s="1" t="s">
        <v>542</v>
      </c>
    </row>
    <row r="243" ht="15.75" customHeight="1">
      <c r="A243" s="1" t="s">
        <v>557</v>
      </c>
      <c r="C243" s="1" t="s">
        <v>19</v>
      </c>
      <c r="D243" s="1" t="s">
        <v>558</v>
      </c>
      <c r="E243" s="1" t="str">
        <f>IFERROR(__xludf.DUMMYFUNCTION("""COMPUTED_VALUE"""),"Lamb")</f>
        <v>Lamb</v>
      </c>
      <c r="F243" s="1" t="s">
        <v>542</v>
      </c>
    </row>
    <row r="244" ht="15.75" customHeight="1">
      <c r="A244" s="1" t="s">
        <v>559</v>
      </c>
      <c r="C244" s="1" t="s">
        <v>19</v>
      </c>
      <c r="D244" s="1" t="s">
        <v>560</v>
      </c>
      <c r="E244" s="1" t="str">
        <f>IFERROR(__xludf.DUMMYFUNCTION("""COMPUTED_VALUE"""),"Lamb")</f>
        <v>Lamb</v>
      </c>
      <c r="F244" s="1" t="s">
        <v>542</v>
      </c>
    </row>
    <row r="245" ht="15.75" customHeight="1">
      <c r="A245" s="1" t="s">
        <v>561</v>
      </c>
      <c r="C245" s="1" t="s">
        <v>19</v>
      </c>
      <c r="D245" s="1" t="s">
        <v>562</v>
      </c>
      <c r="E245" s="1" t="str">
        <f>IFERROR(__xludf.DUMMYFUNCTION("""COMPUTED_VALUE"""),"Lamb")</f>
        <v>Lamb</v>
      </c>
      <c r="F245" s="1" t="s">
        <v>542</v>
      </c>
    </row>
    <row r="246" ht="15.75" customHeight="1">
      <c r="A246" s="1" t="s">
        <v>563</v>
      </c>
      <c r="C246" s="1" t="s">
        <v>19</v>
      </c>
      <c r="D246" s="1" t="s">
        <v>564</v>
      </c>
      <c r="E246" s="1" t="str">
        <f>IFERROR(__xludf.DUMMYFUNCTION("""COMPUTED_VALUE"""),"Lamb")</f>
        <v>Lamb</v>
      </c>
      <c r="F246" s="1" t="s">
        <v>542</v>
      </c>
    </row>
    <row r="247" ht="15.75" customHeight="1">
      <c r="A247" s="1" t="s">
        <v>565</v>
      </c>
      <c r="C247" s="1" t="s">
        <v>14</v>
      </c>
      <c r="D247" s="1" t="s">
        <v>566</v>
      </c>
      <c r="E247" s="1" t="str">
        <f>IFERROR(__xludf.DUMMYFUNCTION("""COMPUTED_VALUE"""),"Dairy, Sweeteners")</f>
        <v>Dairy, Sweeteners</v>
      </c>
      <c r="F247" s="1" t="s">
        <v>21</v>
      </c>
      <c r="M247" s="1" t="s">
        <v>44</v>
      </c>
    </row>
    <row r="248" ht="15.75" customHeight="1">
      <c r="A248" s="1" t="s">
        <v>567</v>
      </c>
      <c r="C248" s="1" t="s">
        <v>14</v>
      </c>
      <c r="D248" s="1" t="s">
        <v>568</v>
      </c>
      <c r="E248" s="1" t="str">
        <f>IFERROR(__xludf.DUMMYFUNCTION("""COMPUTED_VALUE"""),"Dairy, Soy, Sweeteners, Caffeine")</f>
        <v>Dairy, Soy, Sweeteners, Caffeine</v>
      </c>
      <c r="F248" s="1" t="s">
        <v>21</v>
      </c>
      <c r="I248" s="1" t="s">
        <v>40</v>
      </c>
      <c r="M248" s="1" t="s">
        <v>54</v>
      </c>
    </row>
    <row r="249" ht="15.75" customHeight="1">
      <c r="A249" s="1" t="s">
        <v>569</v>
      </c>
      <c r="C249" s="1" t="s">
        <v>14</v>
      </c>
      <c r="D249" s="1" t="s">
        <v>570</v>
      </c>
      <c r="E249" s="1" t="str">
        <f>IFERROR(__xludf.DUMMYFUNCTION("""COMPUTED_VALUE"""),"Dairy, Sweeteners")</f>
        <v>Dairy, Sweeteners</v>
      </c>
      <c r="F249" s="1" t="s">
        <v>21</v>
      </c>
      <c r="M249" s="1" t="s">
        <v>44</v>
      </c>
    </row>
    <row r="250" ht="15.75" customHeight="1">
      <c r="A250" s="1" t="s">
        <v>571</v>
      </c>
      <c r="B250" s="1" t="s">
        <v>534</v>
      </c>
      <c r="C250" s="1" t="s">
        <v>14</v>
      </c>
      <c r="D250" s="1" t="s">
        <v>572</v>
      </c>
      <c r="E250" s="1" t="str">
        <f>IFERROR(__xludf.DUMMYFUNCTION("""COMPUTED_VALUE"""),"Alliums, Spicy, Sweeteners")</f>
        <v>Alliums, Spicy, Sweeteners</v>
      </c>
      <c r="J250" s="1" t="s">
        <v>126</v>
      </c>
      <c r="L250" s="1" t="s">
        <v>51</v>
      </c>
      <c r="M250" s="1" t="s">
        <v>44</v>
      </c>
    </row>
    <row r="251" ht="15.75" customHeight="1">
      <c r="A251" s="1" t="s">
        <v>573</v>
      </c>
      <c r="C251" s="1" t="s">
        <v>14</v>
      </c>
      <c r="D251" s="1" t="s">
        <v>574</v>
      </c>
      <c r="E251" s="1" t="str">
        <f>IFERROR(__xludf.DUMMYFUNCTION("""COMPUTED_VALUE"""),"Leafy Greens, Alliums, Spicy")</f>
        <v>Leafy Greens, Alliums, Spicy</v>
      </c>
      <c r="J251" s="1" t="s">
        <v>417</v>
      </c>
      <c r="L251" s="1" t="s">
        <v>51</v>
      </c>
    </row>
    <row r="252" ht="15.75" customHeight="1">
      <c r="A252" s="1" t="s">
        <v>575</v>
      </c>
      <c r="C252" s="1" t="s">
        <v>14</v>
      </c>
      <c r="D252" s="1" t="s">
        <v>576</v>
      </c>
      <c r="E252" s="1" t="str">
        <f>IFERROR(__xludf.DUMMYFUNCTION("""COMPUTED_VALUE"""),"Eggs, Sweeteners")</f>
        <v>Eggs, Sweeteners</v>
      </c>
      <c r="F252" s="1" t="s">
        <v>138</v>
      </c>
      <c r="M252" s="1" t="s">
        <v>44</v>
      </c>
    </row>
    <row r="253" ht="15.75" customHeight="1">
      <c r="A253" s="1" t="s">
        <v>577</v>
      </c>
      <c r="C253" s="1" t="s">
        <v>14</v>
      </c>
      <c r="D253" s="1" t="s">
        <v>578</v>
      </c>
      <c r="E253" s="1" t="str">
        <f>IFERROR(__xludf.DUMMYFUNCTION("""COMPUTED_VALUE"""),"Tropical Fruits")</f>
        <v>Tropical Fruits</v>
      </c>
      <c r="K253" s="1" t="s">
        <v>47</v>
      </c>
    </row>
    <row r="254" ht="15.75" customHeight="1">
      <c r="A254" s="1" t="s">
        <v>579</v>
      </c>
      <c r="C254" s="1" t="s">
        <v>14</v>
      </c>
      <c r="D254" s="1" t="s">
        <v>580</v>
      </c>
      <c r="E254" s="1" t="str">
        <f>IFERROR(__xludf.DUMMYFUNCTION("""COMPUTED_VALUE"""),"Sweeteners")</f>
        <v>Sweeteners</v>
      </c>
      <c r="M254" s="1" t="s">
        <v>44</v>
      </c>
    </row>
    <row r="255" ht="15.75" customHeight="1">
      <c r="A255" s="1" t="s">
        <v>581</v>
      </c>
      <c r="C255" s="1" t="s">
        <v>14</v>
      </c>
      <c r="D255" s="1" t="s">
        <v>582</v>
      </c>
      <c r="E255" s="1" t="str">
        <f>IFERROR(__xludf.DUMMYFUNCTION("""COMPUTED_VALUE"""),"Alliums, Spicy, Sweeteners")</f>
        <v>Alliums, Spicy, Sweeteners</v>
      </c>
      <c r="J255" s="1" t="s">
        <v>126</v>
      </c>
      <c r="L255" s="1" t="s">
        <v>51</v>
      </c>
      <c r="M255" s="1" t="s">
        <v>44</v>
      </c>
    </row>
    <row r="256" ht="15.75" customHeight="1">
      <c r="A256" s="1" t="s">
        <v>583</v>
      </c>
      <c r="C256" s="1" t="s">
        <v>14</v>
      </c>
      <c r="D256" s="1" t="s">
        <v>584</v>
      </c>
      <c r="E256" s="1" t="str">
        <f>IFERROR(__xludf.DUMMYFUNCTION("""COMPUTED_VALUE"""),"Soy, Sweeteners")</f>
        <v>Soy, Sweeteners</v>
      </c>
      <c r="I256" s="1" t="s">
        <v>40</v>
      </c>
      <c r="M256" s="1" t="s">
        <v>44</v>
      </c>
    </row>
    <row r="257" ht="15.75" customHeight="1">
      <c r="A257" s="1" t="s">
        <v>585</v>
      </c>
      <c r="C257" s="1" t="s">
        <v>14</v>
      </c>
      <c r="D257" s="1" t="s">
        <v>586</v>
      </c>
      <c r="E257" s="1" t="str">
        <f>IFERROR(__xludf.DUMMYFUNCTION("""COMPUTED_VALUE"""),"Fish, Sweeteners")</f>
        <v>Fish, Sweeteners</v>
      </c>
      <c r="F257" s="1" t="s">
        <v>198</v>
      </c>
      <c r="M257" s="1" t="s">
        <v>44</v>
      </c>
    </row>
    <row r="258" ht="15.75" customHeight="1">
      <c r="A258" s="1" t="s">
        <v>587</v>
      </c>
      <c r="C258" s="1" t="s">
        <v>14</v>
      </c>
      <c r="D258" s="1" t="s">
        <v>588</v>
      </c>
      <c r="E258" s="1" t="str">
        <f>IFERROR(__xludf.DUMMYFUNCTION("""COMPUTED_VALUE"""),"Peanuts, Alliums, Spicy, Sweeteners")</f>
        <v>Peanuts, Alliums, Spicy, Sweeteners</v>
      </c>
      <c r="I258" s="1" t="s">
        <v>589</v>
      </c>
      <c r="J258" s="1" t="s">
        <v>126</v>
      </c>
      <c r="L258" s="1" t="s">
        <v>51</v>
      </c>
      <c r="M258" s="1" t="s">
        <v>44</v>
      </c>
    </row>
    <row r="259" ht="15.75" customHeight="1">
      <c r="A259" s="1" t="s">
        <v>590</v>
      </c>
      <c r="C259" s="1" t="s">
        <v>14</v>
      </c>
      <c r="D259" s="1" t="s">
        <v>591</v>
      </c>
      <c r="E259" s="1" t="str">
        <f>IFERROR(__xludf.DUMMYFUNCTION("""COMPUTED_VALUE"""),"Wheat, Alliums, Spicy, Sweeteners")</f>
        <v>Wheat, Alliums, Spicy, Sweeteners</v>
      </c>
      <c r="H259" s="1" t="s">
        <v>31</v>
      </c>
      <c r="J259" s="1" t="s">
        <v>126</v>
      </c>
      <c r="L259" s="1" t="s">
        <v>51</v>
      </c>
      <c r="M259" s="1" t="s">
        <v>44</v>
      </c>
    </row>
    <row r="260" ht="15.75" customHeight="1">
      <c r="A260" s="1" t="s">
        <v>592</v>
      </c>
      <c r="C260" s="1" t="s">
        <v>14</v>
      </c>
      <c r="D260" s="1" t="s">
        <v>593</v>
      </c>
      <c r="E260" s="1" t="str">
        <f>IFERROR(__xludf.DUMMYFUNCTION("""COMPUTED_VALUE"""),"Tropical Fruits")</f>
        <v>Tropical Fruits</v>
      </c>
      <c r="K260" s="1" t="s">
        <v>47</v>
      </c>
    </row>
    <row r="261" ht="15.75" customHeight="1">
      <c r="A261" s="1" t="s">
        <v>594</v>
      </c>
      <c r="C261" s="1" t="s">
        <v>14</v>
      </c>
      <c r="D261" s="1" t="s">
        <v>595</v>
      </c>
      <c r="E261" s="1" t="str">
        <f>IFERROR(__xludf.DUMMYFUNCTION("""COMPUTED_VALUE"""),"Soy, Sweeteners")</f>
        <v>Soy, Sweeteners</v>
      </c>
      <c r="I261" s="1" t="s">
        <v>40</v>
      </c>
      <c r="M261" s="1" t="s">
        <v>44</v>
      </c>
    </row>
    <row r="262" ht="15.75" customHeight="1">
      <c r="A262" s="1" t="s">
        <v>596</v>
      </c>
      <c r="C262" s="1" t="s">
        <v>14</v>
      </c>
      <c r="D262" s="1" t="s">
        <v>597</v>
      </c>
      <c r="E262" s="1" t="str">
        <f>IFERROR(__xludf.DUMMYFUNCTION("""COMPUTED_VALUE"""),"Shellfish, Soy, Sweeteners")</f>
        <v>Shellfish, Soy, Sweeteners</v>
      </c>
      <c r="F262" s="1" t="s">
        <v>135</v>
      </c>
      <c r="I262" s="1" t="s">
        <v>40</v>
      </c>
      <c r="M262" s="1" t="s">
        <v>44</v>
      </c>
    </row>
    <row r="263" ht="15.75" customHeight="1">
      <c r="A263" s="1" t="s">
        <v>598</v>
      </c>
      <c r="C263" s="1" t="s">
        <v>14</v>
      </c>
      <c r="D263" s="1" t="s">
        <v>599</v>
      </c>
      <c r="E263" s="1" t="str">
        <f>IFERROR(__xludf.DUMMYFUNCTION("""COMPUTED_VALUE"""),"Tree Nuts")</f>
        <v>Tree Nuts</v>
      </c>
      <c r="I263" s="1" t="s">
        <v>86</v>
      </c>
    </row>
    <row r="264" ht="15.75" customHeight="1">
      <c r="A264" s="1" t="s">
        <v>600</v>
      </c>
      <c r="C264" s="1" t="s">
        <v>14</v>
      </c>
      <c r="D264" s="1" t="s">
        <v>601</v>
      </c>
      <c r="E264" s="1" t="str">
        <f>IFERROR(__xludf.DUMMYFUNCTION("""COMPUTED_VALUE"""),"Soy, Dried Herbs &amp; Spices, Sweeteners")</f>
        <v>Soy, Dried Herbs &amp; Spices, Sweeteners</v>
      </c>
      <c r="I264" s="1" t="s">
        <v>40</v>
      </c>
      <c r="L264" s="1" t="s">
        <v>17</v>
      </c>
      <c r="M264" s="1" t="s">
        <v>44</v>
      </c>
    </row>
    <row r="265" ht="15.75" customHeight="1">
      <c r="A265" s="1" t="s">
        <v>602</v>
      </c>
      <c r="C265" s="1" t="s">
        <v>14</v>
      </c>
      <c r="D265" s="1" t="s">
        <v>603</v>
      </c>
      <c r="E265" s="1" t="str">
        <f>IFERROR(__xludf.DUMMYFUNCTION("""COMPUTED_VALUE"""),"Alliums, Spicy, Dried Herbs &amp; Spices, Sweeteners")</f>
        <v>Alliums, Spicy, Dried Herbs &amp; Spices, Sweeteners</v>
      </c>
      <c r="J265" s="1" t="s">
        <v>126</v>
      </c>
      <c r="L265" s="1" t="s">
        <v>335</v>
      </c>
      <c r="M265" s="1" t="s">
        <v>44</v>
      </c>
    </row>
    <row r="266" ht="15.75" customHeight="1">
      <c r="A266" s="1" t="s">
        <v>604</v>
      </c>
      <c r="C266" s="1" t="s">
        <v>14</v>
      </c>
      <c r="D266" s="1" t="s">
        <v>605</v>
      </c>
      <c r="E266" s="1" t="str">
        <f>IFERROR(__xludf.DUMMYFUNCTION("""COMPUTED_VALUE"""),"Alliums, Spicy, Dried Herbs &amp; Spices, Sweeteners")</f>
        <v>Alliums, Spicy, Dried Herbs &amp; Spices, Sweeteners</v>
      </c>
      <c r="J266" s="1" t="s">
        <v>126</v>
      </c>
      <c r="L266" s="1" t="s">
        <v>335</v>
      </c>
      <c r="M266" s="1" t="s">
        <v>44</v>
      </c>
    </row>
    <row r="267" ht="15.75" customHeight="1">
      <c r="A267" s="1" t="s">
        <v>606</v>
      </c>
      <c r="C267" s="1" t="s">
        <v>14</v>
      </c>
      <c r="D267" s="1" t="s">
        <v>607</v>
      </c>
      <c r="E267" s="1" t="str">
        <f>IFERROR(__xludf.DUMMYFUNCTION("""COMPUTED_VALUE"""),"Soy, Alliums, Dried Herbs &amp; Spices, Spicy")</f>
        <v>Soy, Alliums, Dried Herbs &amp; Spices, Spicy</v>
      </c>
      <c r="I267" s="1" t="s">
        <v>40</v>
      </c>
      <c r="J267" s="1" t="s">
        <v>126</v>
      </c>
      <c r="L267" s="1" t="s">
        <v>252</v>
      </c>
    </row>
    <row r="268" ht="15.75" customHeight="1">
      <c r="A268" s="1" t="s">
        <v>608</v>
      </c>
      <c r="C268" s="1" t="s">
        <v>14</v>
      </c>
      <c r="D268" s="1" t="s">
        <v>609</v>
      </c>
      <c r="E268" s="1" t="str">
        <f>IFERROR(__xludf.DUMMYFUNCTION("""COMPUTED_VALUE"""),"Chicken, Alliums, Spicy, Sweeteners")</f>
        <v>Chicken, Alliums, Spicy, Sweeteners</v>
      </c>
      <c r="F268" s="1" t="s">
        <v>103</v>
      </c>
      <c r="J268" s="1" t="s">
        <v>126</v>
      </c>
      <c r="L268" s="1" t="s">
        <v>51</v>
      </c>
      <c r="M268" s="1" t="s">
        <v>44</v>
      </c>
    </row>
    <row r="269" ht="15.75" customHeight="1">
      <c r="A269" s="1" t="s">
        <v>610</v>
      </c>
      <c r="C269" s="1" t="s">
        <v>14</v>
      </c>
      <c r="D269" s="1" t="s">
        <v>611</v>
      </c>
      <c r="E269" s="1" t="str">
        <f>IFERROR(__xludf.DUMMYFUNCTION("""COMPUTED_VALUE"""),"Alliums, Dried Herbs &amp; Spices, Spicy, Sweeteners")</f>
        <v>Alliums, Dried Herbs &amp; Spices, Spicy, Sweeteners</v>
      </c>
      <c r="J269" s="1" t="s">
        <v>126</v>
      </c>
      <c r="L269" s="1" t="s">
        <v>252</v>
      </c>
      <c r="M269" s="1" t="s">
        <v>44</v>
      </c>
    </row>
    <row r="270" ht="15.75" customHeight="1">
      <c r="A270" s="1" t="s">
        <v>612</v>
      </c>
      <c r="C270" s="1" t="s">
        <v>14</v>
      </c>
      <c r="D270" s="1" t="s">
        <v>613</v>
      </c>
      <c r="E270" s="1" t="str">
        <f>IFERROR(__xludf.DUMMYFUNCTION("""COMPUTED_VALUE"""),"Dairy, Soy, Tree Nuts, Sweeteners")</f>
        <v>Dairy, Soy, Tree Nuts, Sweeteners</v>
      </c>
      <c r="F270" s="1" t="s">
        <v>21</v>
      </c>
      <c r="I270" s="1" t="s">
        <v>449</v>
      </c>
      <c r="M270" s="1" t="s">
        <v>44</v>
      </c>
    </row>
    <row r="271" ht="15.75" customHeight="1">
      <c r="A271" s="1" t="s">
        <v>614</v>
      </c>
      <c r="C271" s="1" t="s">
        <v>14</v>
      </c>
      <c r="D271" s="1" t="s">
        <v>615</v>
      </c>
      <c r="E271" s="1" t="str">
        <f>IFERROR(__xludf.DUMMYFUNCTION("""COMPUTED_VALUE"""),"Gluten-Free Grains, Potatoes, Corn, Beans")</f>
        <v>Gluten-Free Grains, Potatoes, Corn, Beans</v>
      </c>
      <c r="H271" s="1" t="s">
        <v>616</v>
      </c>
      <c r="I271" s="1" t="s">
        <v>175</v>
      </c>
    </row>
    <row r="272" ht="15.75" customHeight="1">
      <c r="A272" s="1" t="s">
        <v>617</v>
      </c>
      <c r="C272" s="1" t="s">
        <v>19</v>
      </c>
      <c r="D272" s="1" t="s">
        <v>618</v>
      </c>
      <c r="E272" s="1" t="str">
        <f>IFERROR(__xludf.DUMMYFUNCTION("""COMPUTED_VALUE"""),"Others")</f>
        <v>Others</v>
      </c>
      <c r="N272" s="1" t="s">
        <v>12</v>
      </c>
    </row>
    <row r="273" ht="15.75" customHeight="1">
      <c r="A273" s="1" t="s">
        <v>619</v>
      </c>
      <c r="C273" s="1" t="s">
        <v>14</v>
      </c>
      <c r="D273" s="1" t="s">
        <v>620</v>
      </c>
      <c r="E273" s="1" t="str">
        <f>IFERROR(__xludf.DUMMYFUNCTION("""COMPUTED_VALUE"""),"Sweeteners")</f>
        <v>Sweeteners</v>
      </c>
      <c r="M273" s="1" t="s">
        <v>44</v>
      </c>
    </row>
    <row r="274" ht="15.75" customHeight="1">
      <c r="A274" s="1" t="s">
        <v>621</v>
      </c>
      <c r="C274" s="1" t="s">
        <v>19</v>
      </c>
      <c r="D274" s="1" t="s">
        <v>622</v>
      </c>
      <c r="E274" s="1" t="str">
        <f>IFERROR(__xludf.DUMMYFUNCTION("""COMPUTED_VALUE"""),"Leafy Greens")</f>
        <v>Leafy Greens</v>
      </c>
      <c r="J274" s="1" t="s">
        <v>320</v>
      </c>
    </row>
    <row r="275" ht="15.75" customHeight="1">
      <c r="A275" s="1" t="s">
        <v>623</v>
      </c>
      <c r="C275" s="1" t="s">
        <v>19</v>
      </c>
      <c r="D275" s="1" t="s">
        <v>624</v>
      </c>
      <c r="E275" s="1" t="str">
        <f>IFERROR(__xludf.DUMMYFUNCTION("""COMPUTED_VALUE"""),"Sweeteners")</f>
        <v>Sweeteners</v>
      </c>
      <c r="M275" s="1" t="s">
        <v>44</v>
      </c>
    </row>
    <row r="276" ht="15.75" customHeight="1">
      <c r="A276" s="1" t="s">
        <v>625</v>
      </c>
      <c r="C276" s="1" t="s">
        <v>19</v>
      </c>
      <c r="D276" s="1" t="s">
        <v>626</v>
      </c>
      <c r="E276" s="1" t="str">
        <f>IFERROR(__xludf.DUMMYFUNCTION("""COMPUTED_VALUE"""),"Leafy Greens")</f>
        <v>Leafy Greens</v>
      </c>
      <c r="J276" s="1" t="s">
        <v>320</v>
      </c>
    </row>
    <row r="277" ht="15.75" customHeight="1">
      <c r="A277" s="1" t="s">
        <v>627</v>
      </c>
      <c r="C277" s="1" t="s">
        <v>19</v>
      </c>
      <c r="D277" s="1" t="s">
        <v>628</v>
      </c>
      <c r="E277" s="1" t="str">
        <f>IFERROR(__xludf.DUMMYFUNCTION("""COMPUTED_VALUE"""),"Sweeteners")</f>
        <v>Sweeteners</v>
      </c>
      <c r="M277" s="1" t="s">
        <v>44</v>
      </c>
    </row>
    <row r="278" ht="15.75" customHeight="1">
      <c r="A278" s="1" t="s">
        <v>629</v>
      </c>
      <c r="C278" s="1" t="s">
        <v>19</v>
      </c>
      <c r="D278" s="1" t="s">
        <v>630</v>
      </c>
      <c r="E278" s="1" t="str">
        <f>IFERROR(__xludf.DUMMYFUNCTION("""COMPUTED_VALUE"""),"Potatoes")</f>
        <v>Potatoes</v>
      </c>
      <c r="H278" s="1" t="s">
        <v>222</v>
      </c>
    </row>
    <row r="279" ht="15.75" customHeight="1">
      <c r="A279" s="1" t="s">
        <v>631</v>
      </c>
      <c r="C279" s="1" t="s">
        <v>19</v>
      </c>
      <c r="D279" s="1" t="s">
        <v>632</v>
      </c>
      <c r="E279" s="1" t="str">
        <f>IFERROR(__xludf.DUMMYFUNCTION("""COMPUTED_VALUE"""),"Leafy Greens")</f>
        <v>Leafy Greens</v>
      </c>
      <c r="J279" s="1" t="s">
        <v>320</v>
      </c>
    </row>
    <row r="280" ht="15.75" customHeight="1">
      <c r="A280" s="1" t="s">
        <v>633</v>
      </c>
      <c r="C280" s="1" t="s">
        <v>19</v>
      </c>
      <c r="D280" s="1" t="s">
        <v>634</v>
      </c>
      <c r="E280" s="1" t="str">
        <f>IFERROR(__xludf.DUMMYFUNCTION("""COMPUTED_VALUE"""),"Alliums")</f>
        <v>Alliums</v>
      </c>
      <c r="J280" s="1" t="s">
        <v>126</v>
      </c>
    </row>
    <row r="281" ht="15.75" customHeight="1">
      <c r="A281" s="1" t="s">
        <v>635</v>
      </c>
      <c r="C281" s="1" t="s">
        <v>19</v>
      </c>
      <c r="D281" s="1" t="s">
        <v>636</v>
      </c>
      <c r="E281" s="1" t="str">
        <f>IFERROR(__xludf.DUMMYFUNCTION("""COMPUTED_VALUE"""),"Beans")</f>
        <v>Beans</v>
      </c>
      <c r="I281" s="1" t="s">
        <v>175</v>
      </c>
    </row>
    <row r="282" ht="15.75" customHeight="1">
      <c r="A282" s="1" t="s">
        <v>637</v>
      </c>
      <c r="C282" s="1" t="s">
        <v>19</v>
      </c>
      <c r="D282" s="1" t="s">
        <v>638</v>
      </c>
      <c r="E282" s="1" t="str">
        <f>IFERROR(__xludf.DUMMYFUNCTION("""COMPUTED_VALUE"""),"Beans")</f>
        <v>Beans</v>
      </c>
      <c r="I282" s="1" t="s">
        <v>175</v>
      </c>
    </row>
    <row r="283" ht="15.75" customHeight="1">
      <c r="A283" s="1" t="s">
        <v>639</v>
      </c>
      <c r="C283" s="1" t="s">
        <v>19</v>
      </c>
      <c r="D283" s="1" t="s">
        <v>640</v>
      </c>
      <c r="E283" s="1" t="str">
        <f>IFERROR(__xludf.DUMMYFUNCTION("""COMPUTED_VALUE"""),"Sweeteners")</f>
        <v>Sweeteners</v>
      </c>
      <c r="M283" s="1" t="s">
        <v>44</v>
      </c>
    </row>
    <row r="284" ht="15.75" customHeight="1">
      <c r="A284" s="1" t="s">
        <v>641</v>
      </c>
      <c r="C284" s="1" t="s">
        <v>19</v>
      </c>
      <c r="D284" s="1" t="s">
        <v>642</v>
      </c>
      <c r="E284" s="1" t="str">
        <f>IFERROR(__xludf.DUMMYFUNCTION("""COMPUTED_VALUE"""),"Sweeteners")</f>
        <v>Sweeteners</v>
      </c>
      <c r="M284" s="1" t="s">
        <v>44</v>
      </c>
    </row>
    <row r="285" ht="15.75" customHeight="1">
      <c r="A285" s="1" t="s">
        <v>643</v>
      </c>
      <c r="C285" s="1" t="s">
        <v>19</v>
      </c>
      <c r="D285" s="1" t="s">
        <v>644</v>
      </c>
      <c r="E285" s="1" t="str">
        <f>IFERROR(__xludf.DUMMYFUNCTION("""COMPUTED_VALUE"""),"Potatoes")</f>
        <v>Potatoes</v>
      </c>
      <c r="H285" s="1" t="s">
        <v>222</v>
      </c>
    </row>
    <row r="286" ht="15.75" customHeight="1">
      <c r="A286" s="1" t="s">
        <v>645</v>
      </c>
      <c r="C286" s="1" t="s">
        <v>19</v>
      </c>
      <c r="D286" s="1" t="s">
        <v>646</v>
      </c>
      <c r="E286" s="1" t="str">
        <f>IFERROR(__xludf.DUMMYFUNCTION("""COMPUTED_VALUE"""),"Shellfish")</f>
        <v>Shellfish</v>
      </c>
      <c r="F286" s="1" t="s">
        <v>135</v>
      </c>
    </row>
    <row r="287" ht="15.75" customHeight="1">
      <c r="A287" s="1" t="s">
        <v>647</v>
      </c>
      <c r="C287" s="1" t="s">
        <v>19</v>
      </c>
      <c r="D287" s="1" t="s">
        <v>648</v>
      </c>
      <c r="E287" s="1" t="str">
        <f>IFERROR(__xludf.DUMMYFUNCTION("""COMPUTED_VALUE"""),"Leafy Greens, Alliums")</f>
        <v>Leafy Greens, Alliums</v>
      </c>
      <c r="J287" s="1" t="s">
        <v>417</v>
      </c>
    </row>
    <row r="288" ht="15.75" customHeight="1">
      <c r="A288" s="1" t="s">
        <v>649</v>
      </c>
      <c r="C288" s="1" t="s">
        <v>19</v>
      </c>
      <c r="D288" s="1" t="s">
        <v>650</v>
      </c>
      <c r="E288" s="1" t="str">
        <f>IFERROR(__xludf.DUMMYFUNCTION("""COMPUTED_VALUE"""),"Dairy, Leafy Greens, Alliums")</f>
        <v>Dairy, Leafy Greens, Alliums</v>
      </c>
      <c r="F288" s="1" t="s">
        <v>21</v>
      </c>
      <c r="J288" s="1" t="s">
        <v>417</v>
      </c>
    </row>
    <row r="289" ht="15.75" customHeight="1">
      <c r="A289" s="1" t="s">
        <v>651</v>
      </c>
      <c r="C289" s="1" t="s">
        <v>19</v>
      </c>
      <c r="D289" s="1" t="s">
        <v>652</v>
      </c>
      <c r="E289" s="1" t="str">
        <f>IFERROR(__xludf.DUMMYFUNCTION("""COMPUTED_VALUE"""),"Dairy, Leafy Greens, Alliums")</f>
        <v>Dairy, Leafy Greens, Alliums</v>
      </c>
      <c r="F289" s="1" t="s">
        <v>21</v>
      </c>
      <c r="J289" s="1" t="s">
        <v>417</v>
      </c>
    </row>
    <row r="290" ht="15.75" customHeight="1">
      <c r="A290" s="1" t="s">
        <v>653</v>
      </c>
      <c r="C290" s="1" t="s">
        <v>19</v>
      </c>
      <c r="D290" s="1" t="s">
        <v>654</v>
      </c>
      <c r="E290" s="1" t="str">
        <f>IFERROR(__xludf.DUMMYFUNCTION("""COMPUTED_VALUE"""),"Others")</f>
        <v>Others</v>
      </c>
      <c r="N290" s="1" t="s">
        <v>12</v>
      </c>
    </row>
    <row r="291" ht="15.75" customHeight="1">
      <c r="A291" s="1" t="s">
        <v>655</v>
      </c>
      <c r="C291" s="1" t="s">
        <v>19</v>
      </c>
      <c r="D291" s="1" t="s">
        <v>656</v>
      </c>
      <c r="E291" s="1" t="str">
        <f>IFERROR(__xludf.DUMMYFUNCTION("""COMPUTED_VALUE"""),"Others")</f>
        <v>Others</v>
      </c>
      <c r="N291" s="1" t="s">
        <v>12</v>
      </c>
    </row>
    <row r="292" ht="15.75" customHeight="1">
      <c r="A292" s="1" t="s">
        <v>657</v>
      </c>
      <c r="C292" s="1" t="s">
        <v>14</v>
      </c>
      <c r="D292" s="1" t="s">
        <v>658</v>
      </c>
      <c r="E292" s="1" t="str">
        <f>IFERROR(__xludf.DUMMYFUNCTION("""COMPUTED_VALUE"""),"Dairy")</f>
        <v>Dairy</v>
      </c>
      <c r="F292" s="1" t="s">
        <v>21</v>
      </c>
    </row>
    <row r="293" ht="15.75" customHeight="1">
      <c r="A293" s="1" t="s">
        <v>659</v>
      </c>
      <c r="C293" s="1" t="s">
        <v>14</v>
      </c>
      <c r="D293" s="1" t="s">
        <v>660</v>
      </c>
      <c r="E293" s="1" t="str">
        <f>IFERROR(__xludf.DUMMYFUNCTION("""COMPUTED_VALUE"""),"Dairy")</f>
        <v>Dairy</v>
      </c>
      <c r="F293" s="1" t="s">
        <v>21</v>
      </c>
    </row>
    <row r="294" ht="15.75" customHeight="1">
      <c r="A294" s="1" t="s">
        <v>661</v>
      </c>
      <c r="C294" s="1" t="s">
        <v>14</v>
      </c>
      <c r="D294" s="1" t="s">
        <v>662</v>
      </c>
      <c r="E294" s="1" t="str">
        <f>IFERROR(__xludf.DUMMYFUNCTION("""COMPUTED_VALUE"""),"Dairy")</f>
        <v>Dairy</v>
      </c>
      <c r="F294" s="1" t="s">
        <v>21</v>
      </c>
    </row>
    <row r="295" ht="15.75" customHeight="1">
      <c r="A295" s="1" t="s">
        <v>663</v>
      </c>
      <c r="C295" s="1" t="s">
        <v>19</v>
      </c>
      <c r="D295" s="1" t="s">
        <v>664</v>
      </c>
      <c r="E295" s="1" t="str">
        <f>IFERROR(__xludf.DUMMYFUNCTION("""COMPUTED_VALUE"""),"Leafy Greens")</f>
        <v>Leafy Greens</v>
      </c>
      <c r="J295" s="1" t="s">
        <v>320</v>
      </c>
    </row>
    <row r="296" ht="15.75" customHeight="1">
      <c r="A296" s="1" t="s">
        <v>665</v>
      </c>
      <c r="C296" s="1" t="s">
        <v>19</v>
      </c>
      <c r="D296" s="1" t="s">
        <v>666</v>
      </c>
      <c r="E296" s="1" t="str">
        <f>IFERROR(__xludf.DUMMYFUNCTION("""COMPUTED_VALUE"""),"Pork")</f>
        <v>Pork</v>
      </c>
      <c r="F296" s="1" t="s">
        <v>389</v>
      </c>
    </row>
    <row r="297" ht="15.75" customHeight="1">
      <c r="A297" s="1" t="s">
        <v>667</v>
      </c>
      <c r="C297" s="1" t="s">
        <v>19</v>
      </c>
      <c r="D297" s="1" t="s">
        <v>668</v>
      </c>
      <c r="E297" s="1" t="str">
        <f>IFERROR(__xludf.DUMMYFUNCTION("""COMPUTED_VALUE"""),"Pork, Sweeteners")</f>
        <v>Pork, Sweeteners</v>
      </c>
      <c r="F297" s="1" t="s">
        <v>389</v>
      </c>
      <c r="M297" s="1" t="s">
        <v>44</v>
      </c>
    </row>
    <row r="298" ht="15.75" customHeight="1">
      <c r="A298" s="1" t="s">
        <v>669</v>
      </c>
      <c r="C298" s="1" t="s">
        <v>19</v>
      </c>
      <c r="D298" s="1" t="s">
        <v>670</v>
      </c>
      <c r="E298" s="1" t="str">
        <f>IFERROR(__xludf.DUMMYFUNCTION("""COMPUTED_VALUE"""),"Pork")</f>
        <v>Pork</v>
      </c>
      <c r="F298" s="1" t="s">
        <v>389</v>
      </c>
    </row>
    <row r="299" ht="15.75" customHeight="1">
      <c r="A299" s="1" t="s">
        <v>671</v>
      </c>
      <c r="C299" s="1" t="s">
        <v>19</v>
      </c>
      <c r="D299" s="1" t="s">
        <v>672</v>
      </c>
      <c r="E299" s="1" t="str">
        <f>IFERROR(__xludf.DUMMYFUNCTION("""COMPUTED_VALUE"""),"Pork")</f>
        <v>Pork</v>
      </c>
      <c r="F299" s="1" t="s">
        <v>389</v>
      </c>
    </row>
    <row r="300" ht="15.75" customHeight="1">
      <c r="A300" s="1" t="s">
        <v>673</v>
      </c>
      <c r="C300" s="1" t="s">
        <v>19</v>
      </c>
      <c r="D300" s="1" t="s">
        <v>674</v>
      </c>
      <c r="E300" s="1" t="str">
        <f>IFERROR(__xludf.DUMMYFUNCTION("""COMPUTED_VALUE"""),"Pork")</f>
        <v>Pork</v>
      </c>
      <c r="F300" s="1" t="s">
        <v>389</v>
      </c>
    </row>
    <row r="301" ht="15.75" customHeight="1">
      <c r="A301" s="1" t="s">
        <v>675</v>
      </c>
      <c r="C301" s="1" t="s">
        <v>19</v>
      </c>
      <c r="D301" s="1" t="s">
        <v>676</v>
      </c>
      <c r="E301" s="1" t="str">
        <f>IFERROR(__xludf.DUMMYFUNCTION("""COMPUTED_VALUE"""),"Pork")</f>
        <v>Pork</v>
      </c>
      <c r="F301" s="1" t="s">
        <v>389</v>
      </c>
    </row>
    <row r="302" ht="15.75" customHeight="1">
      <c r="A302" s="1" t="s">
        <v>677</v>
      </c>
      <c r="C302" s="1" t="s">
        <v>14</v>
      </c>
      <c r="D302" s="1" t="s">
        <v>678</v>
      </c>
      <c r="E302" s="1" t="str">
        <f>IFERROR(__xludf.DUMMYFUNCTION("""COMPUTED_VALUE"""),"Dairy, Tree Nuts, Spicy, Sweeteners")</f>
        <v>Dairy, Tree Nuts, Spicy, Sweeteners</v>
      </c>
      <c r="F302" s="1" t="s">
        <v>21</v>
      </c>
      <c r="I302" s="1" t="s">
        <v>86</v>
      </c>
      <c r="L302" s="1" t="s">
        <v>51</v>
      </c>
      <c r="M302" s="1" t="s">
        <v>44</v>
      </c>
    </row>
    <row r="303" ht="15.75" customHeight="1">
      <c r="A303" s="1" t="s">
        <v>679</v>
      </c>
      <c r="C303" s="1" t="s">
        <v>19</v>
      </c>
      <c r="D303" s="1" t="s">
        <v>680</v>
      </c>
      <c r="E303" s="1" t="str">
        <f>IFERROR(__xludf.DUMMYFUNCTION("""COMPUTED_VALUE"""),"Eggs, Wheat, Sweeteners")</f>
        <v>Eggs, Wheat, Sweeteners</v>
      </c>
      <c r="F303" s="1" t="s">
        <v>138</v>
      </c>
      <c r="H303" s="1" t="s">
        <v>31</v>
      </c>
      <c r="M303" s="1" t="s">
        <v>44</v>
      </c>
    </row>
    <row r="304" ht="15.75" customHeight="1">
      <c r="A304" s="1" t="s">
        <v>681</v>
      </c>
      <c r="C304" s="1" t="s">
        <v>14</v>
      </c>
      <c r="D304" s="1" t="s">
        <v>682</v>
      </c>
      <c r="E304" s="1" t="str">
        <f>IFERROR(__xludf.DUMMYFUNCTION("""COMPUTED_VALUE"""),"Dried Herbs &amp; Spices, Spicy")</f>
        <v>Dried Herbs &amp; Spices, Spicy</v>
      </c>
      <c r="L304" s="1" t="s">
        <v>252</v>
      </c>
    </row>
    <row r="305" ht="15.75" customHeight="1">
      <c r="A305" s="1" t="s">
        <v>683</v>
      </c>
      <c r="C305" s="1" t="s">
        <v>14</v>
      </c>
      <c r="D305" s="1" t="s">
        <v>684</v>
      </c>
      <c r="E305" s="1" t="str">
        <f>IFERROR(__xludf.DUMMYFUNCTION("""COMPUTED_VALUE"""),"Dairy, Tree Nuts, Sweeteners")</f>
        <v>Dairy, Tree Nuts, Sweeteners</v>
      </c>
      <c r="F305" s="1" t="s">
        <v>21</v>
      </c>
      <c r="I305" s="1" t="s">
        <v>86</v>
      </c>
      <c r="M305" s="1" t="s">
        <v>44</v>
      </c>
    </row>
    <row r="306" ht="15.75" customHeight="1">
      <c r="A306" s="1" t="s">
        <v>685</v>
      </c>
      <c r="C306" s="1" t="s">
        <v>19</v>
      </c>
      <c r="D306" s="1" t="s">
        <v>686</v>
      </c>
      <c r="E306" s="1" t="str">
        <f>IFERROR(__xludf.DUMMYFUNCTION("""COMPUTED_VALUE"""),"Corn, Spicy, Sweeteners")</f>
        <v>Corn, Spicy, Sweeteners</v>
      </c>
      <c r="H306" s="1" t="s">
        <v>161</v>
      </c>
      <c r="L306" s="1" t="s">
        <v>51</v>
      </c>
      <c r="M306" s="1" t="s">
        <v>44</v>
      </c>
    </row>
    <row r="307" ht="15.75" customHeight="1">
      <c r="A307" s="1" t="s">
        <v>687</v>
      </c>
      <c r="C307" s="1" t="s">
        <v>19</v>
      </c>
      <c r="D307" s="1" t="s">
        <v>688</v>
      </c>
      <c r="E307" s="1" t="str">
        <f>IFERROR(__xludf.DUMMYFUNCTION("""COMPUTED_VALUE"""),"Corn, Spicy, Sweeteners")</f>
        <v>Corn, Spicy, Sweeteners</v>
      </c>
      <c r="H307" s="1" t="s">
        <v>161</v>
      </c>
      <c r="L307" s="1" t="s">
        <v>51</v>
      </c>
      <c r="M307" s="1" t="s">
        <v>44</v>
      </c>
    </row>
    <row r="308" ht="15.75" customHeight="1">
      <c r="A308" s="1" t="s">
        <v>689</v>
      </c>
      <c r="C308" s="1" t="s">
        <v>19</v>
      </c>
      <c r="D308" s="1" t="s">
        <v>690</v>
      </c>
      <c r="E308" s="1" t="str">
        <f>IFERROR(__xludf.DUMMYFUNCTION("""COMPUTED_VALUE"""),"Pork, Beef, Spicy, Sweeteners")</f>
        <v>Pork, Beef, Spicy, Sweeteners</v>
      </c>
      <c r="F308" s="1" t="s">
        <v>691</v>
      </c>
      <c r="L308" s="1" t="s">
        <v>51</v>
      </c>
      <c r="M308" s="1" t="s">
        <v>44</v>
      </c>
    </row>
    <row r="309" ht="15.75" customHeight="1">
      <c r="A309" s="1" t="s">
        <v>692</v>
      </c>
      <c r="C309" s="1" t="s">
        <v>19</v>
      </c>
      <c r="D309" s="1" t="s">
        <v>693</v>
      </c>
      <c r="E309" s="1" t="str">
        <f>IFERROR(__xludf.DUMMYFUNCTION("""COMPUTED_VALUE"""),"Pork, Spicy, Sweeteners")</f>
        <v>Pork, Spicy, Sweeteners</v>
      </c>
      <c r="F309" s="1" t="s">
        <v>389</v>
      </c>
      <c r="L309" s="1" t="s">
        <v>51</v>
      </c>
      <c r="M309" s="1" t="s">
        <v>44</v>
      </c>
    </row>
    <row r="310" ht="15.75" customHeight="1">
      <c r="A310" s="1" t="s">
        <v>694</v>
      </c>
      <c r="C310" s="1" t="s">
        <v>19</v>
      </c>
      <c r="D310" s="1" t="s">
        <v>695</v>
      </c>
      <c r="E310" s="1" t="str">
        <f>IFERROR(__xludf.DUMMYFUNCTION("""COMPUTED_VALUE"""),"Pork, Beans, Alliums, Nightshades, Spicy, Sweeteners")</f>
        <v>Pork, Beans, Alliums, Nightshades, Spicy, Sweeteners</v>
      </c>
      <c r="F310" s="1" t="s">
        <v>389</v>
      </c>
      <c r="I310" s="1" t="s">
        <v>175</v>
      </c>
      <c r="J310" s="1" t="s">
        <v>696</v>
      </c>
      <c r="L310" s="1" t="s">
        <v>51</v>
      </c>
      <c r="M310" s="1" t="s">
        <v>44</v>
      </c>
    </row>
    <row r="311" ht="15.75" customHeight="1">
      <c r="A311" s="1" t="s">
        <v>697</v>
      </c>
      <c r="C311" s="1" t="s">
        <v>19</v>
      </c>
      <c r="D311" s="1" t="s">
        <v>698</v>
      </c>
      <c r="E311" s="1" t="str">
        <f>IFERROR(__xludf.DUMMYFUNCTION("""COMPUTED_VALUE"""),"Pork, Beans, Alliums, Spicy, Sweeteners")</f>
        <v>Pork, Beans, Alliums, Spicy, Sweeteners</v>
      </c>
      <c r="F311" s="1" t="s">
        <v>389</v>
      </c>
      <c r="I311" s="1" t="s">
        <v>175</v>
      </c>
      <c r="J311" s="1" t="s">
        <v>126</v>
      </c>
      <c r="L311" s="1" t="s">
        <v>51</v>
      </c>
      <c r="M311" s="1" t="s">
        <v>44</v>
      </c>
    </row>
    <row r="312" ht="15.75" customHeight="1">
      <c r="A312" s="1" t="s">
        <v>699</v>
      </c>
      <c r="C312" s="1" t="s">
        <v>19</v>
      </c>
      <c r="D312" s="1" t="s">
        <v>700</v>
      </c>
      <c r="E312" s="1" t="str">
        <f>IFERROR(__xludf.DUMMYFUNCTION("""COMPUTED_VALUE"""),"Sweeteners")</f>
        <v>Sweeteners</v>
      </c>
      <c r="M312" s="1" t="s">
        <v>44</v>
      </c>
    </row>
    <row r="313" ht="15.75" customHeight="1">
      <c r="A313" s="1" t="s">
        <v>701</v>
      </c>
      <c r="C313" s="1" t="s">
        <v>19</v>
      </c>
      <c r="D313" s="1" t="s">
        <v>702</v>
      </c>
      <c r="E313" s="1" t="str">
        <f>IFERROR(__xludf.DUMMYFUNCTION("""COMPUTED_VALUE"""),"Potatoes")</f>
        <v>Potatoes</v>
      </c>
      <c r="H313" s="1" t="s">
        <v>222</v>
      </c>
    </row>
    <row r="314" ht="15.75" customHeight="1">
      <c r="A314" s="1" t="s">
        <v>703</v>
      </c>
      <c r="C314" s="1" t="s">
        <v>19</v>
      </c>
      <c r="D314" s="1" t="s">
        <v>704</v>
      </c>
      <c r="E314" s="1" t="str">
        <f>IFERROR(__xludf.DUMMYFUNCTION("""COMPUTED_VALUE"""),"Dairy, Eggs, Sweeteners")</f>
        <v>Dairy, Eggs, Sweeteners</v>
      </c>
      <c r="F314" s="1" t="s">
        <v>16</v>
      </c>
      <c r="M314" s="1" t="s">
        <v>44</v>
      </c>
    </row>
    <row r="315" ht="15.75" customHeight="1">
      <c r="A315" s="1" t="s">
        <v>705</v>
      </c>
      <c r="C315" s="1" t="s">
        <v>19</v>
      </c>
      <c r="D315" s="1" t="s">
        <v>706</v>
      </c>
      <c r="E315" s="1" t="str">
        <f>IFERROR(__xludf.DUMMYFUNCTION("""COMPUTED_VALUE"""),"Dairy, Soy, Sweeteners")</f>
        <v>Dairy, Soy, Sweeteners</v>
      </c>
      <c r="F315" s="1" t="s">
        <v>21</v>
      </c>
      <c r="I315" s="1" t="s">
        <v>40</v>
      </c>
      <c r="M315" s="1" t="s">
        <v>44</v>
      </c>
    </row>
    <row r="316" ht="15.75" customHeight="1">
      <c r="A316" s="1" t="s">
        <v>707</v>
      </c>
      <c r="C316" s="1" t="s">
        <v>14</v>
      </c>
      <c r="D316" s="1" t="s">
        <v>708</v>
      </c>
      <c r="E316" s="1" t="str">
        <f>IFERROR(__xludf.DUMMYFUNCTION("""COMPUTED_VALUE"""),"Wheat, Soy, Other")</f>
        <v>Wheat, Soy, Other</v>
      </c>
      <c r="H316" s="1" t="s">
        <v>31</v>
      </c>
      <c r="I316" s="1" t="s">
        <v>40</v>
      </c>
      <c r="N316" s="1" t="s">
        <v>166</v>
      </c>
    </row>
    <row r="317" ht="15.75" customHeight="1">
      <c r="A317" s="1" t="s">
        <v>709</v>
      </c>
      <c r="C317" s="1" t="s">
        <v>19</v>
      </c>
      <c r="D317" s="1" t="s">
        <v>710</v>
      </c>
      <c r="E317" s="1" t="str">
        <f>IFERROR(__xludf.DUMMYFUNCTION("""COMPUTED_VALUE"""),"Others")</f>
        <v>Others</v>
      </c>
      <c r="N317" s="1" t="s">
        <v>12</v>
      </c>
    </row>
    <row r="318" ht="15.75" customHeight="1">
      <c r="A318" s="1" t="s">
        <v>711</v>
      </c>
      <c r="C318" s="1" t="s">
        <v>14</v>
      </c>
      <c r="D318" s="1" t="s">
        <v>712</v>
      </c>
      <c r="E318" s="1" t="str">
        <f>IFERROR(__xludf.DUMMYFUNCTION("""COMPUTED_VALUE"""),"Dairy, Sweeteners")</f>
        <v>Dairy, Sweeteners</v>
      </c>
      <c r="F318" s="1" t="s">
        <v>21</v>
      </c>
      <c r="M318" s="1" t="s">
        <v>44</v>
      </c>
    </row>
    <row r="319" ht="15.75" customHeight="1">
      <c r="A319" s="1" t="s">
        <v>713</v>
      </c>
      <c r="C319" s="1" t="s">
        <v>19</v>
      </c>
      <c r="D319" s="1" t="s">
        <v>714</v>
      </c>
      <c r="E319" s="1" t="str">
        <f>IFERROR(__xludf.DUMMYFUNCTION("""COMPUTED_VALUE"""),"Others")</f>
        <v>Others</v>
      </c>
      <c r="N319" s="1" t="s">
        <v>12</v>
      </c>
    </row>
    <row r="320" ht="15.75" customHeight="1">
      <c r="A320" s="1" t="s">
        <v>715</v>
      </c>
      <c r="C320" s="1" t="s">
        <v>19</v>
      </c>
      <c r="D320" s="1" t="s">
        <v>716</v>
      </c>
      <c r="E320" s="1" t="str">
        <f>IFERROR(__xludf.DUMMYFUNCTION("""COMPUTED_VALUE"""),"Corn")</f>
        <v>Corn</v>
      </c>
      <c r="H320" s="1" t="s">
        <v>161</v>
      </c>
    </row>
    <row r="321" ht="15.75" customHeight="1">
      <c r="A321" s="1" t="s">
        <v>717</v>
      </c>
      <c r="C321" s="1" t="s">
        <v>19</v>
      </c>
      <c r="D321" s="1" t="s">
        <v>718</v>
      </c>
      <c r="E321" s="1" t="str">
        <f>IFERROR(__xludf.DUMMYFUNCTION("""COMPUTED_VALUE"""),"Others")</f>
        <v>Others</v>
      </c>
      <c r="N321" s="1" t="s">
        <v>12</v>
      </c>
    </row>
    <row r="322" ht="15.75" customHeight="1">
      <c r="A322" s="1" t="s">
        <v>719</v>
      </c>
      <c r="C322" s="1" t="s">
        <v>14</v>
      </c>
      <c r="D322" s="1" t="s">
        <v>720</v>
      </c>
      <c r="E322" s="1" t="str">
        <f>IFERROR(__xludf.DUMMYFUNCTION("""COMPUTED_VALUE"""),"Dairy")</f>
        <v>Dairy</v>
      </c>
      <c r="F322" s="1" t="s">
        <v>21</v>
      </c>
    </row>
    <row r="323" ht="15.75" customHeight="1">
      <c r="A323" s="1" t="s">
        <v>721</v>
      </c>
      <c r="C323" s="1" t="s">
        <v>14</v>
      </c>
      <c r="D323" s="1" t="s">
        <v>722</v>
      </c>
      <c r="E323" s="1" t="str">
        <f>IFERROR(__xludf.DUMMYFUNCTION("""COMPUTED_VALUE"""),"Dairy, Sweeteners")</f>
        <v>Dairy, Sweeteners</v>
      </c>
      <c r="F323" s="1" t="s">
        <v>21</v>
      </c>
      <c r="M323" s="1" t="s">
        <v>44</v>
      </c>
    </row>
    <row r="324" ht="15.75" customHeight="1">
      <c r="A324" s="1" t="s">
        <v>723</v>
      </c>
      <c r="C324" s="1" t="s">
        <v>14</v>
      </c>
      <c r="D324" s="1" t="s">
        <v>724</v>
      </c>
      <c r="E324" s="1" t="str">
        <f>IFERROR(__xludf.DUMMYFUNCTION("""COMPUTED_VALUE"""),"Dairy")</f>
        <v>Dairy</v>
      </c>
      <c r="F324" s="1" t="s">
        <v>21</v>
      </c>
    </row>
    <row r="325" ht="15.75" customHeight="1">
      <c r="A325" s="1" t="s">
        <v>725</v>
      </c>
      <c r="C325" s="1" t="s">
        <v>14</v>
      </c>
      <c r="D325" s="1" t="s">
        <v>726</v>
      </c>
      <c r="E325" s="1" t="str">
        <f>IFERROR(__xludf.DUMMYFUNCTION("""COMPUTED_VALUE"""),"Dairy")</f>
        <v>Dairy</v>
      </c>
      <c r="F325" s="1" t="s">
        <v>21</v>
      </c>
    </row>
    <row r="326" ht="15.75" customHeight="1">
      <c r="A326" s="1" t="s">
        <v>727</v>
      </c>
      <c r="C326" s="1" t="s">
        <v>19</v>
      </c>
      <c r="D326" s="1" t="s">
        <v>728</v>
      </c>
      <c r="E326" s="1" t="str">
        <f>IFERROR(__xludf.DUMMYFUNCTION("""COMPUTED_VALUE"""),"Dairy")</f>
        <v>Dairy</v>
      </c>
      <c r="F326" s="1" t="s">
        <v>21</v>
      </c>
    </row>
    <row r="327" ht="15.75" customHeight="1">
      <c r="A327" s="1" t="s">
        <v>729</v>
      </c>
      <c r="C327" s="1" t="s">
        <v>19</v>
      </c>
      <c r="D327" s="1" t="s">
        <v>730</v>
      </c>
      <c r="E327" s="1" t="str">
        <f>IFERROR(__xludf.DUMMYFUNCTION("""COMPUTED_VALUE"""),"Other")</f>
        <v>Other</v>
      </c>
      <c r="N327" s="1" t="s">
        <v>166</v>
      </c>
    </row>
    <row r="328" ht="15.75" customHeight="1">
      <c r="A328" s="1" t="s">
        <v>731</v>
      </c>
      <c r="C328" s="1" t="s">
        <v>19</v>
      </c>
      <c r="D328" s="1" t="s">
        <v>732</v>
      </c>
      <c r="E328" s="1" t="str">
        <f>IFERROR(__xludf.DUMMYFUNCTION("""COMPUTED_VALUE"""),"Corn, Sweeteners")</f>
        <v>Corn, Sweeteners</v>
      </c>
      <c r="H328" s="1" t="s">
        <v>161</v>
      </c>
      <c r="M328" s="1" t="s">
        <v>44</v>
      </c>
    </row>
    <row r="329" ht="15.75" customHeight="1">
      <c r="A329" s="1" t="s">
        <v>733</v>
      </c>
      <c r="C329" s="1" t="s">
        <v>19</v>
      </c>
      <c r="D329" s="1" t="s">
        <v>734</v>
      </c>
      <c r="E329" s="1" t="str">
        <f>IFERROR(__xludf.DUMMYFUNCTION("""COMPUTED_VALUE"""),"Corn, Sweeteners")</f>
        <v>Corn, Sweeteners</v>
      </c>
      <c r="H329" s="1" t="s">
        <v>161</v>
      </c>
      <c r="M329" s="1" t="s">
        <v>44</v>
      </c>
    </row>
    <row r="330" ht="15.75" customHeight="1">
      <c r="A330" s="1" t="s">
        <v>735</v>
      </c>
      <c r="C330" s="1" t="s">
        <v>19</v>
      </c>
      <c r="D330" s="1" t="s">
        <v>736</v>
      </c>
      <c r="E330" s="1" t="str">
        <f>IFERROR(__xludf.DUMMYFUNCTION("""COMPUTED_VALUE"""),"Others")</f>
        <v>Others</v>
      </c>
      <c r="N330" s="1" t="s">
        <v>12</v>
      </c>
    </row>
    <row r="331" ht="15.75" customHeight="1">
      <c r="A331" s="1" t="s">
        <v>737</v>
      </c>
      <c r="C331" s="1" t="s">
        <v>19</v>
      </c>
      <c r="D331" s="1" t="s">
        <v>738</v>
      </c>
      <c r="E331" s="1" t="str">
        <f>IFERROR(__xludf.DUMMYFUNCTION("""COMPUTED_VALUE"""),"Others")</f>
        <v>Others</v>
      </c>
      <c r="N331" s="1" t="s">
        <v>12</v>
      </c>
    </row>
    <row r="332" ht="15.75" customHeight="1">
      <c r="A332" s="1" t="s">
        <v>739</v>
      </c>
      <c r="C332" s="1" t="s">
        <v>19</v>
      </c>
      <c r="D332" s="1" t="s">
        <v>740</v>
      </c>
      <c r="E332" s="1" t="str">
        <f>IFERROR(__xludf.DUMMYFUNCTION("""COMPUTED_VALUE"""),"Others")</f>
        <v>Others</v>
      </c>
      <c r="N332" s="1" t="s">
        <v>12</v>
      </c>
    </row>
    <row r="333" ht="15.75" customHeight="1">
      <c r="A333" s="1" t="s">
        <v>741</v>
      </c>
      <c r="C333" s="1" t="s">
        <v>19</v>
      </c>
      <c r="D333" s="1" t="s">
        <v>742</v>
      </c>
      <c r="E333" s="1" t="str">
        <f>IFERROR(__xludf.DUMMYFUNCTION("""COMPUTED_VALUE"""),"Others")</f>
        <v>Others</v>
      </c>
      <c r="N333" s="1" t="s">
        <v>12</v>
      </c>
    </row>
    <row r="334" ht="15.75" customHeight="1">
      <c r="A334" s="1" t="s">
        <v>743</v>
      </c>
      <c r="C334" s="1" t="s">
        <v>19</v>
      </c>
      <c r="D334" s="1" t="s">
        <v>744</v>
      </c>
      <c r="E334" s="1" t="str">
        <f>IFERROR(__xludf.DUMMYFUNCTION("""COMPUTED_VALUE"""),"Tropical Fruits")</f>
        <v>Tropical Fruits</v>
      </c>
      <c r="K334" s="1" t="s">
        <v>47</v>
      </c>
    </row>
    <row r="335" ht="15.75" customHeight="1">
      <c r="A335" s="1" t="s">
        <v>745</v>
      </c>
      <c r="C335" s="1" t="s">
        <v>19</v>
      </c>
      <c r="D335" s="1" t="s">
        <v>746</v>
      </c>
      <c r="E335" s="1" t="str">
        <f>IFERROR(__xludf.DUMMYFUNCTION("""COMPUTED_VALUE"""),"Dairy, Eggs, Sweeteners")</f>
        <v>Dairy, Eggs, Sweeteners</v>
      </c>
      <c r="F335" s="1" t="s">
        <v>16</v>
      </c>
      <c r="M335" s="1" t="s">
        <v>44</v>
      </c>
    </row>
    <row r="336" ht="15.75" customHeight="1">
      <c r="A336" s="1" t="s">
        <v>747</v>
      </c>
      <c r="C336" s="1" t="s">
        <v>19</v>
      </c>
      <c r="D336" s="1" t="s">
        <v>748</v>
      </c>
      <c r="E336" s="1" t="str">
        <f>IFERROR(__xludf.DUMMYFUNCTION("""COMPUTED_VALUE"""),"Sweeteners")</f>
        <v>Sweeteners</v>
      </c>
      <c r="M336" s="1" t="s">
        <v>44</v>
      </c>
    </row>
    <row r="337" ht="15.75" customHeight="1">
      <c r="A337" s="1" t="s">
        <v>749</v>
      </c>
      <c r="C337" s="1" t="s">
        <v>19</v>
      </c>
      <c r="D337" s="1" t="s">
        <v>750</v>
      </c>
      <c r="E337" s="1" t="str">
        <f>IFERROR(__xludf.DUMMYFUNCTION("""COMPUTED_VALUE"""),"Tropical Fruits")</f>
        <v>Tropical Fruits</v>
      </c>
      <c r="K337" s="1" t="s">
        <v>47</v>
      </c>
    </row>
    <row r="338" ht="15.75" customHeight="1">
      <c r="A338" s="1" t="s">
        <v>751</v>
      </c>
      <c r="C338" s="1" t="s">
        <v>19</v>
      </c>
      <c r="D338" s="1" t="s">
        <v>752</v>
      </c>
      <c r="E338" s="1" t="str">
        <f>IFERROR(__xludf.DUMMYFUNCTION("""COMPUTED_VALUE"""),"Other")</f>
        <v>Other</v>
      </c>
      <c r="N338" s="1" t="s">
        <v>166</v>
      </c>
    </row>
    <row r="339" ht="15.75" customHeight="1">
      <c r="A339" s="1" t="s">
        <v>753</v>
      </c>
      <c r="C339" s="1" t="s">
        <v>19</v>
      </c>
      <c r="D339" s="1" t="s">
        <v>754</v>
      </c>
      <c r="E339" s="1" t="str">
        <f>IFERROR(__xludf.DUMMYFUNCTION("""COMPUTED_VALUE"""),"Tropical Fruits, Alcohol, Sweeteners")</f>
        <v>Tropical Fruits, Alcohol, Sweeteners</v>
      </c>
      <c r="K339" s="1" t="s">
        <v>47</v>
      </c>
      <c r="M339" s="1" t="s">
        <v>519</v>
      </c>
    </row>
    <row r="340" ht="15.75" customHeight="1">
      <c r="A340" s="1" t="s">
        <v>755</v>
      </c>
      <c r="C340" s="1" t="s">
        <v>14</v>
      </c>
      <c r="D340" s="1" t="s">
        <v>756</v>
      </c>
      <c r="E340" s="1" t="str">
        <f>IFERROR(__xludf.DUMMYFUNCTION("""COMPUTED_VALUE"""),"Tree Nuts, Sweeteners")</f>
        <v>Tree Nuts, Sweeteners</v>
      </c>
      <c r="I340" s="1" t="s">
        <v>86</v>
      </c>
      <c r="M340" s="1" t="s">
        <v>44</v>
      </c>
    </row>
    <row r="341" ht="15.75" customHeight="1">
      <c r="A341" s="1" t="s">
        <v>757</v>
      </c>
      <c r="C341" s="1" t="s">
        <v>19</v>
      </c>
      <c r="D341" s="1" t="s">
        <v>758</v>
      </c>
      <c r="E341" s="1" t="str">
        <f>IFERROR(__xludf.DUMMYFUNCTION("""COMPUTED_VALUE"""),"Melons")</f>
        <v>Melons</v>
      </c>
      <c r="K341" s="1" t="s">
        <v>759</v>
      </c>
    </row>
    <row r="342" ht="15.75" customHeight="1">
      <c r="A342" s="1" t="s">
        <v>760</v>
      </c>
      <c r="C342" s="1" t="s">
        <v>19</v>
      </c>
      <c r="D342" s="1" t="s">
        <v>761</v>
      </c>
      <c r="E342" s="1" t="str">
        <f>IFERROR(__xludf.DUMMYFUNCTION("""COMPUTED_VALUE"""),"Alliums, Dried Herbs &amp; Spices, Sweeteners")</f>
        <v>Alliums, Dried Herbs &amp; Spices, Sweeteners</v>
      </c>
      <c r="J342" s="1" t="s">
        <v>126</v>
      </c>
      <c r="L342" s="1" t="s">
        <v>17</v>
      </c>
      <c r="M342" s="1" t="s">
        <v>44</v>
      </c>
    </row>
    <row r="343" ht="15.75" customHeight="1">
      <c r="A343" s="1" t="s">
        <v>762</v>
      </c>
      <c r="C343" s="1" t="s">
        <v>19</v>
      </c>
      <c r="D343" s="1" t="s">
        <v>763</v>
      </c>
      <c r="E343" s="1" t="str">
        <f>IFERROR(__xludf.DUMMYFUNCTION("""COMPUTED_VALUE"""),"Dairy, Sweeteners")</f>
        <v>Dairy, Sweeteners</v>
      </c>
      <c r="F343" s="1" t="s">
        <v>21</v>
      </c>
      <c r="M343" s="1" t="s">
        <v>44</v>
      </c>
    </row>
    <row r="344" ht="15.75" customHeight="1">
      <c r="A344" s="1" t="s">
        <v>764</v>
      </c>
      <c r="C344" s="1" t="s">
        <v>19</v>
      </c>
      <c r="D344" s="1" t="s">
        <v>765</v>
      </c>
      <c r="E344" s="1" t="str">
        <f>IFERROR(__xludf.DUMMYFUNCTION("""COMPUTED_VALUE"""),"Alliums")</f>
        <v>Alliums</v>
      </c>
      <c r="J344" s="1" t="s">
        <v>126</v>
      </c>
    </row>
    <row r="345" ht="15.75" customHeight="1">
      <c r="A345" s="1" t="s">
        <v>766</v>
      </c>
      <c r="C345" s="1" t="s">
        <v>19</v>
      </c>
      <c r="D345" s="1" t="s">
        <v>767</v>
      </c>
      <c r="E345" s="1" t="str">
        <f>IFERROR(__xludf.DUMMYFUNCTION("""COMPUTED_VALUE"""),"Others")</f>
        <v>Others</v>
      </c>
      <c r="N345" s="1" t="s">
        <v>12</v>
      </c>
    </row>
    <row r="346" ht="15.75" customHeight="1">
      <c r="A346" s="1" t="s">
        <v>768</v>
      </c>
      <c r="C346" s="1" t="s">
        <v>14</v>
      </c>
      <c r="D346" s="1" t="s">
        <v>769</v>
      </c>
      <c r="E346" s="1" t="str">
        <f>IFERROR(__xludf.DUMMYFUNCTION("""COMPUTED_VALUE"""),"Other")</f>
        <v>Other</v>
      </c>
      <c r="N346" s="1" t="s">
        <v>166</v>
      </c>
    </row>
    <row r="347" ht="15.75" customHeight="1">
      <c r="A347" s="1" t="s">
        <v>770</v>
      </c>
      <c r="C347" s="1" t="s">
        <v>14</v>
      </c>
      <c r="D347" s="1" t="s">
        <v>771</v>
      </c>
      <c r="E347" s="1" t="str">
        <f>IFERROR(__xludf.DUMMYFUNCTION("""COMPUTED_VALUE"""),"Alliums, Dried Herbs &amp; Spices, Sweeteners")</f>
        <v>Alliums, Dried Herbs &amp; Spices, Sweeteners</v>
      </c>
      <c r="J347" s="1" t="s">
        <v>126</v>
      </c>
      <c r="L347" s="1" t="s">
        <v>17</v>
      </c>
      <c r="M347" s="1" t="s">
        <v>44</v>
      </c>
    </row>
    <row r="348" ht="15.75" customHeight="1">
      <c r="A348" s="1" t="s">
        <v>772</v>
      </c>
      <c r="C348" s="1" t="s">
        <v>19</v>
      </c>
      <c r="D348" s="1" t="s">
        <v>773</v>
      </c>
      <c r="E348" s="1" t="str">
        <f>IFERROR(__xludf.DUMMYFUNCTION("""COMPUTED_VALUE"""),"Corn, Dried Herbs &amp; Spices, Sweeteners")</f>
        <v>Corn, Dried Herbs &amp; Spices, Sweeteners</v>
      </c>
      <c r="H348" s="1" t="s">
        <v>161</v>
      </c>
      <c r="L348" s="1" t="s">
        <v>17</v>
      </c>
      <c r="M348" s="1" t="s">
        <v>44</v>
      </c>
    </row>
    <row r="349" ht="15.75" customHeight="1">
      <c r="A349" s="1" t="s">
        <v>774</v>
      </c>
      <c r="C349" s="1" t="s">
        <v>19</v>
      </c>
      <c r="D349" s="1" t="s">
        <v>775</v>
      </c>
      <c r="E349" s="1" t="str">
        <f>IFERROR(__xludf.DUMMYFUNCTION("""COMPUTED_VALUE"""),"Corn, Dried Herbs &amp; Spices, Sweeteners")</f>
        <v>Corn, Dried Herbs &amp; Spices, Sweeteners</v>
      </c>
      <c r="H349" s="1" t="s">
        <v>161</v>
      </c>
      <c r="L349" s="1" t="s">
        <v>17</v>
      </c>
      <c r="M349" s="1" t="s">
        <v>44</v>
      </c>
    </row>
    <row r="350" ht="15.75" customHeight="1">
      <c r="A350" s="1" t="s">
        <v>776</v>
      </c>
      <c r="C350" s="1" t="s">
        <v>19</v>
      </c>
      <c r="D350" s="1" t="s">
        <v>777</v>
      </c>
      <c r="E350" s="1" t="str">
        <f>IFERROR(__xludf.DUMMYFUNCTION("""COMPUTED_VALUE"""),"Corn, Dried Herbs &amp; Spices, Sweeteners")</f>
        <v>Corn, Dried Herbs &amp; Spices, Sweeteners</v>
      </c>
      <c r="H350" s="1" t="s">
        <v>161</v>
      </c>
      <c r="L350" s="1" t="s">
        <v>17</v>
      </c>
      <c r="M350" s="1" t="s">
        <v>44</v>
      </c>
    </row>
    <row r="351" ht="15.75" customHeight="1">
      <c r="A351" s="1" t="s">
        <v>778</v>
      </c>
      <c r="C351" s="1" t="s">
        <v>19</v>
      </c>
      <c r="D351" s="1" t="s">
        <v>779</v>
      </c>
      <c r="E351" s="1" t="str">
        <f>IFERROR(__xludf.DUMMYFUNCTION("""COMPUTED_VALUE"""),"Dried Herbs &amp; Spices, Sweeteners")</f>
        <v>Dried Herbs &amp; Spices, Sweeteners</v>
      </c>
      <c r="L351" s="1" t="s">
        <v>17</v>
      </c>
      <c r="M351" s="1" t="s">
        <v>44</v>
      </c>
    </row>
    <row r="352" ht="15.75" customHeight="1">
      <c r="A352" s="1" t="s">
        <v>780</v>
      </c>
      <c r="C352" s="1" t="s">
        <v>19</v>
      </c>
      <c r="D352" s="1" t="s">
        <v>781</v>
      </c>
      <c r="E352" s="1" t="str">
        <f>IFERROR(__xludf.DUMMYFUNCTION("""COMPUTED_VALUE"""),"Dried Herbs &amp; Spices, Sweeteners")</f>
        <v>Dried Herbs &amp; Spices, Sweeteners</v>
      </c>
      <c r="L352" s="1" t="s">
        <v>17</v>
      </c>
      <c r="M352" s="1" t="s">
        <v>44</v>
      </c>
    </row>
    <row r="353" ht="15.75" customHeight="1">
      <c r="A353" s="1" t="s">
        <v>782</v>
      </c>
      <c r="C353" s="1" t="s">
        <v>14</v>
      </c>
      <c r="D353" s="1" t="s">
        <v>783</v>
      </c>
      <c r="E353" s="1" t="str">
        <f>IFERROR(__xludf.DUMMYFUNCTION("""COMPUTED_VALUE"""),"Alliums, Dried Herbs &amp; Spices, Sweeteners")</f>
        <v>Alliums, Dried Herbs &amp; Spices, Sweeteners</v>
      </c>
      <c r="J353" s="1" t="s">
        <v>126</v>
      </c>
      <c r="L353" s="1" t="s">
        <v>17</v>
      </c>
      <c r="M353" s="1" t="s">
        <v>44</v>
      </c>
    </row>
    <row r="354" ht="15.75" customHeight="1">
      <c r="A354" s="1" t="s">
        <v>784</v>
      </c>
      <c r="C354" s="1" t="s">
        <v>19</v>
      </c>
      <c r="D354" s="1" t="s">
        <v>785</v>
      </c>
      <c r="E354" s="1" t="str">
        <f>IFERROR(__xludf.DUMMYFUNCTION("""COMPUTED_VALUE"""),"Alliums, Sweeteners")</f>
        <v>Alliums, Sweeteners</v>
      </c>
      <c r="J354" s="1" t="s">
        <v>126</v>
      </c>
      <c r="M354" s="1" t="s">
        <v>44</v>
      </c>
    </row>
    <row r="355" ht="15.75" customHeight="1">
      <c r="A355" s="1" t="s">
        <v>786</v>
      </c>
      <c r="C355" s="1" t="s">
        <v>19</v>
      </c>
      <c r="D355" s="1" t="s">
        <v>787</v>
      </c>
      <c r="E355" s="1" t="str">
        <f>IFERROR(__xludf.DUMMYFUNCTION("""COMPUTED_VALUE"""),"Alliums, Sweeteners")</f>
        <v>Alliums, Sweeteners</v>
      </c>
      <c r="J355" s="1" t="s">
        <v>126</v>
      </c>
      <c r="M355" s="1" t="s">
        <v>44</v>
      </c>
    </row>
    <row r="356" ht="15.75" customHeight="1">
      <c r="A356" s="1" t="s">
        <v>788</v>
      </c>
      <c r="C356" s="1" t="s">
        <v>19</v>
      </c>
      <c r="D356" s="1" t="s">
        <v>789</v>
      </c>
      <c r="E356" s="1" t="str">
        <f>IFERROR(__xludf.DUMMYFUNCTION("""COMPUTED_VALUE"""),"Alcohol")</f>
        <v>Alcohol</v>
      </c>
      <c r="M356" s="1" t="s">
        <v>213</v>
      </c>
    </row>
    <row r="357" ht="15.75" customHeight="1">
      <c r="A357" s="1" t="s">
        <v>790</v>
      </c>
      <c r="C357" s="1" t="s">
        <v>14</v>
      </c>
      <c r="D357" s="1" t="s">
        <v>791</v>
      </c>
      <c r="E357" s="1" t="str">
        <f>IFERROR(__xludf.DUMMYFUNCTION("""COMPUTED_VALUE"""),"Tree Nuts, Sweeteners")</f>
        <v>Tree Nuts, Sweeteners</v>
      </c>
      <c r="I357" s="1" t="s">
        <v>86</v>
      </c>
      <c r="M357" s="1" t="s">
        <v>44</v>
      </c>
    </row>
    <row r="358" ht="15.75" customHeight="1">
      <c r="A358" s="1" t="s">
        <v>792</v>
      </c>
      <c r="C358" s="1" t="s">
        <v>14</v>
      </c>
      <c r="D358" s="1" t="s">
        <v>793</v>
      </c>
      <c r="E358" s="1" t="str">
        <f>IFERROR(__xludf.DUMMYFUNCTION("""COMPUTED_VALUE"""),"Dairy, Tree Nuts, Sweeteners")</f>
        <v>Dairy, Tree Nuts, Sweeteners</v>
      </c>
      <c r="F358" s="1" t="s">
        <v>21</v>
      </c>
      <c r="I358" s="1" t="s">
        <v>86</v>
      </c>
      <c r="M358" s="1" t="s">
        <v>44</v>
      </c>
    </row>
    <row r="359" ht="15.75" customHeight="1">
      <c r="A359" s="1" t="s">
        <v>794</v>
      </c>
      <c r="C359" s="1" t="s">
        <v>14</v>
      </c>
      <c r="D359" s="1" t="s">
        <v>795</v>
      </c>
      <c r="E359" s="1" t="str">
        <f>IFERROR(__xludf.DUMMYFUNCTION("""COMPUTED_VALUE"""),"Dairy, Beef, Peanuts, Tree Nuts, Sweeteners")</f>
        <v>Dairy, Beef, Peanuts, Tree Nuts, Sweeteners</v>
      </c>
      <c r="F359" s="1" t="s">
        <v>796</v>
      </c>
      <c r="I359" s="1" t="s">
        <v>797</v>
      </c>
      <c r="M359" s="1" t="s">
        <v>44</v>
      </c>
    </row>
    <row r="360" ht="15.75" customHeight="1">
      <c r="A360" s="1" t="s">
        <v>798</v>
      </c>
      <c r="C360" s="1" t="s">
        <v>14</v>
      </c>
      <c r="D360" s="1" t="s">
        <v>799</v>
      </c>
      <c r="E360" s="1" t="str">
        <f>IFERROR(__xludf.DUMMYFUNCTION("""COMPUTED_VALUE"""),"Dairy, Beef, Peanuts, Tree Nuts, Sweeteners")</f>
        <v>Dairy, Beef, Peanuts, Tree Nuts, Sweeteners</v>
      </c>
      <c r="F360" s="1" t="s">
        <v>796</v>
      </c>
      <c r="I360" s="1" t="s">
        <v>797</v>
      </c>
      <c r="M360" s="1" t="s">
        <v>44</v>
      </c>
    </row>
    <row r="361" ht="15.75" customHeight="1">
      <c r="A361" s="1" t="s">
        <v>800</v>
      </c>
      <c r="C361" s="1" t="s">
        <v>14</v>
      </c>
      <c r="D361" s="1" t="s">
        <v>801</v>
      </c>
      <c r="E361" s="1" t="str">
        <f>IFERROR(__xludf.DUMMYFUNCTION("""COMPUTED_VALUE"""),"Dairy, Beef, Peanuts, Soy, Sweeteners")</f>
        <v>Dairy, Beef, Peanuts, Soy, Sweeteners</v>
      </c>
      <c r="F361" s="1" t="s">
        <v>796</v>
      </c>
      <c r="I361" s="1" t="s">
        <v>37</v>
      </c>
      <c r="M361" s="1" t="s">
        <v>44</v>
      </c>
    </row>
    <row r="362" ht="15.75" customHeight="1">
      <c r="A362" s="1" t="s">
        <v>802</v>
      </c>
      <c r="C362" s="1" t="s">
        <v>14</v>
      </c>
      <c r="D362" s="1" t="s">
        <v>803</v>
      </c>
      <c r="E362" s="1" t="str">
        <f>IFERROR(__xludf.DUMMYFUNCTION("""COMPUTED_VALUE"""),"Eggs, Wheat")</f>
        <v>Eggs, Wheat</v>
      </c>
      <c r="F362" s="1" t="s">
        <v>138</v>
      </c>
      <c r="H362" s="1" t="s">
        <v>31</v>
      </c>
    </row>
    <row r="363" ht="15.75" customHeight="1">
      <c r="A363" s="1" t="s">
        <v>804</v>
      </c>
      <c r="C363" s="1" t="s">
        <v>14</v>
      </c>
      <c r="D363" s="1" t="s">
        <v>805</v>
      </c>
      <c r="E363" s="1" t="str">
        <f>IFERROR(__xludf.DUMMYFUNCTION("""COMPUTED_VALUE"""),"Wheat, Pasta Alternatives, Beans, Lentils")</f>
        <v>Wheat, Pasta Alternatives, Beans, Lentils</v>
      </c>
      <c r="H363" s="1" t="s">
        <v>806</v>
      </c>
      <c r="I363" s="1" t="s">
        <v>807</v>
      </c>
    </row>
    <row r="364" ht="15.75" customHeight="1">
      <c r="A364" s="1" t="s">
        <v>808</v>
      </c>
      <c r="C364" s="1" t="s">
        <v>14</v>
      </c>
      <c r="D364" s="1" t="s">
        <v>809</v>
      </c>
      <c r="E364" s="1" t="str">
        <f>IFERROR(__xludf.DUMMYFUNCTION("""COMPUTED_VALUE"""),"Non-Dairy Cheese, Corn, Tree Nuts, Dried Herbs &amp; Spices, Fresh Herbs, Sweeteners")</f>
        <v>Non-Dairy Cheese, Corn, Tree Nuts, Dried Herbs &amp; Spices, Fresh Herbs, Sweeteners</v>
      </c>
      <c r="G364" s="1" t="s">
        <v>810</v>
      </c>
      <c r="H364" s="1" t="s">
        <v>161</v>
      </c>
      <c r="I364" s="1" t="s">
        <v>86</v>
      </c>
      <c r="L364" s="1" t="s">
        <v>811</v>
      </c>
      <c r="M364" s="1" t="s">
        <v>44</v>
      </c>
    </row>
    <row r="365" ht="15.75" customHeight="1">
      <c r="A365" s="1" t="s">
        <v>812</v>
      </c>
      <c r="C365" s="1" t="s">
        <v>19</v>
      </c>
      <c r="D365" s="1" t="s">
        <v>813</v>
      </c>
      <c r="E365" s="1" t="str">
        <f>IFERROR(__xludf.DUMMYFUNCTION("""COMPUTED_VALUE"""),"Wheat")</f>
        <v>Wheat</v>
      </c>
      <c r="H365" s="1" t="s">
        <v>31</v>
      </c>
    </row>
    <row r="366" ht="15.75" customHeight="1">
      <c r="A366" s="1" t="s">
        <v>814</v>
      </c>
      <c r="C366" s="1" t="s">
        <v>19</v>
      </c>
      <c r="D366" s="1" t="s">
        <v>815</v>
      </c>
      <c r="E366" s="1" t="str">
        <f>IFERROR(__xludf.DUMMYFUNCTION("""COMPUTED_VALUE"""),"Wheat")</f>
        <v>Wheat</v>
      </c>
      <c r="H366" s="1" t="s">
        <v>31</v>
      </c>
    </row>
    <row r="367" ht="15.75" customHeight="1">
      <c r="A367" s="1" t="s">
        <v>816</v>
      </c>
      <c r="C367" s="1" t="s">
        <v>19</v>
      </c>
      <c r="D367" s="1" t="s">
        <v>817</v>
      </c>
      <c r="E367" s="1" t="str">
        <f>IFERROR(__xludf.DUMMYFUNCTION("""COMPUTED_VALUE"""),"Wheat")</f>
        <v>Wheat</v>
      </c>
      <c r="H367" s="1" t="s">
        <v>31</v>
      </c>
    </row>
    <row r="368" ht="15.75" customHeight="1">
      <c r="A368" s="1" t="s">
        <v>818</v>
      </c>
      <c r="C368" s="1" t="s">
        <v>14</v>
      </c>
      <c r="D368" s="1" t="s">
        <v>819</v>
      </c>
      <c r="E368" s="1" t="str">
        <f>IFERROR(__xludf.DUMMYFUNCTION("""COMPUTED_VALUE"""),"Wheat")</f>
        <v>Wheat</v>
      </c>
      <c r="H368" s="1" t="s">
        <v>31</v>
      </c>
    </row>
    <row r="369" ht="15.75" customHeight="1">
      <c r="A369" s="1" t="s">
        <v>820</v>
      </c>
      <c r="C369" s="1" t="s">
        <v>14</v>
      </c>
      <c r="D369" s="1" t="s">
        <v>821</v>
      </c>
      <c r="E369" s="1" t="str">
        <f>IFERROR(__xludf.DUMMYFUNCTION("""COMPUTED_VALUE"""),"Fish")</f>
        <v>Fish</v>
      </c>
      <c r="F369" s="1" t="s">
        <v>198</v>
      </c>
    </row>
    <row r="370" ht="15.75" customHeight="1">
      <c r="A370" s="1" t="s">
        <v>822</v>
      </c>
      <c r="C370" s="1" t="s">
        <v>19</v>
      </c>
      <c r="D370" s="1" t="s">
        <v>823</v>
      </c>
      <c r="E370" s="1" t="str">
        <f>IFERROR(__xludf.DUMMYFUNCTION("""COMPUTED_VALUE"""),"Stone Fruits")</f>
        <v>Stone Fruits</v>
      </c>
      <c r="K370" s="1" t="s">
        <v>394</v>
      </c>
    </row>
    <row r="371" ht="15.75" customHeight="1">
      <c r="A371" s="1" t="s">
        <v>824</v>
      </c>
      <c r="C371" s="1" t="s">
        <v>14</v>
      </c>
      <c r="D371" s="1" t="s">
        <v>825</v>
      </c>
      <c r="E371" s="1" t="str">
        <f>IFERROR(__xludf.DUMMYFUNCTION("""COMPUTED_VALUE"""),"Fish")</f>
        <v>Fish</v>
      </c>
      <c r="F371" s="1" t="s">
        <v>198</v>
      </c>
    </row>
    <row r="372" ht="15.75" customHeight="1">
      <c r="A372" s="1" t="s">
        <v>826</v>
      </c>
      <c r="C372" s="1" t="s">
        <v>19</v>
      </c>
      <c r="D372" s="1" t="s">
        <v>827</v>
      </c>
      <c r="E372" s="1" t="str">
        <f>IFERROR(__xludf.DUMMYFUNCTION("""COMPUTED_VALUE"""),"Fresh Herbs")</f>
        <v>Fresh Herbs</v>
      </c>
      <c r="L372" s="1" t="s">
        <v>529</v>
      </c>
    </row>
    <row r="373" ht="15.75" customHeight="1">
      <c r="A373" s="1" t="s">
        <v>828</v>
      </c>
      <c r="C373" s="1" t="s">
        <v>19</v>
      </c>
      <c r="D373" s="1" t="s">
        <v>829</v>
      </c>
      <c r="E373" s="1" t="str">
        <f>IFERROR(__xludf.DUMMYFUNCTION("""COMPUTED_VALUE"""),"Fresh Herbs")</f>
        <v>Fresh Herbs</v>
      </c>
      <c r="L373" s="1" t="s">
        <v>529</v>
      </c>
    </row>
    <row r="374" ht="15.75" customHeight="1">
      <c r="A374" s="1" t="s">
        <v>830</v>
      </c>
      <c r="C374" s="1" t="s">
        <v>19</v>
      </c>
      <c r="D374" s="1" t="s">
        <v>831</v>
      </c>
      <c r="E374" s="1" t="str">
        <f>IFERROR(__xludf.DUMMYFUNCTION("""COMPUTED_VALUE"""),"Fresh Herbs")</f>
        <v>Fresh Herbs</v>
      </c>
      <c r="L374" s="1" t="s">
        <v>529</v>
      </c>
    </row>
    <row r="375" ht="15.75" customHeight="1">
      <c r="A375" s="1" t="s">
        <v>832</v>
      </c>
      <c r="C375" s="1" t="s">
        <v>19</v>
      </c>
      <c r="D375" s="1" t="s">
        <v>833</v>
      </c>
      <c r="E375" s="1" t="str">
        <f>IFERROR(__xludf.DUMMYFUNCTION("""COMPUTED_VALUE"""),"Tree Nuts, Alliums, Fresh Herbs")</f>
        <v>Tree Nuts, Alliums, Fresh Herbs</v>
      </c>
      <c r="I375" s="1" t="s">
        <v>86</v>
      </c>
      <c r="J375" s="1" t="s">
        <v>126</v>
      </c>
      <c r="L375" s="1" t="s">
        <v>529</v>
      </c>
    </row>
    <row r="376" ht="15.75" customHeight="1">
      <c r="A376" s="1" t="s">
        <v>834</v>
      </c>
      <c r="C376" s="1" t="s">
        <v>19</v>
      </c>
      <c r="D376" s="1" t="s">
        <v>835</v>
      </c>
      <c r="E376" s="1" t="str">
        <f>IFERROR(__xludf.DUMMYFUNCTION("""COMPUTED_VALUE"""),"Gluten-Free Grains")</f>
        <v>Gluten-Free Grains</v>
      </c>
      <c r="H376" s="1" t="s">
        <v>80</v>
      </c>
    </row>
    <row r="377" ht="15.75" customHeight="1">
      <c r="A377" s="1" t="s">
        <v>836</v>
      </c>
      <c r="C377" s="1" t="s">
        <v>14</v>
      </c>
      <c r="D377" s="1" t="s">
        <v>837</v>
      </c>
      <c r="E377" s="1" t="str">
        <f>IFERROR(__xludf.DUMMYFUNCTION("""COMPUTED_VALUE"""),"Nightshades, Alliums, Spicy, Sweeteners")</f>
        <v>Nightshades, Alliums, Spicy, Sweeteners</v>
      </c>
      <c r="J377" s="1" t="s">
        <v>313</v>
      </c>
      <c r="L377" s="1" t="s">
        <v>51</v>
      </c>
      <c r="M377" s="1" t="s">
        <v>44</v>
      </c>
    </row>
    <row r="378" ht="15.75" customHeight="1">
      <c r="A378" s="1" t="s">
        <v>838</v>
      </c>
      <c r="C378" s="1" t="s">
        <v>14</v>
      </c>
      <c r="D378" s="1" t="s">
        <v>839</v>
      </c>
      <c r="E378" s="1" t="str">
        <f>IFERROR(__xludf.DUMMYFUNCTION("""COMPUTED_VALUE"""),"Corn, Nightshades, Alliums, Spicy, Sweeteners")</f>
        <v>Corn, Nightshades, Alliums, Spicy, Sweeteners</v>
      </c>
      <c r="H378" s="1" t="s">
        <v>161</v>
      </c>
      <c r="J378" s="1" t="s">
        <v>313</v>
      </c>
      <c r="L378" s="1" t="s">
        <v>51</v>
      </c>
      <c r="M378" s="1" t="s">
        <v>44</v>
      </c>
    </row>
    <row r="379" ht="15.75" customHeight="1">
      <c r="A379" s="1" t="s">
        <v>840</v>
      </c>
      <c r="C379" s="1" t="s">
        <v>19</v>
      </c>
      <c r="D379" s="1" t="s">
        <v>841</v>
      </c>
      <c r="E379" s="1" t="str">
        <f>IFERROR(__xludf.DUMMYFUNCTION("""COMPUTED_VALUE"""),"Fresh Herbs")</f>
        <v>Fresh Herbs</v>
      </c>
      <c r="L379" s="1" t="s">
        <v>529</v>
      </c>
    </row>
    <row r="380" ht="15.75" customHeight="1">
      <c r="A380" s="1" t="s">
        <v>842</v>
      </c>
      <c r="C380" s="1" t="s">
        <v>14</v>
      </c>
      <c r="D380" s="1" t="s">
        <v>843</v>
      </c>
      <c r="E380" s="1" t="str">
        <f>IFERROR(__xludf.DUMMYFUNCTION("""COMPUTED_VALUE"""),"Wheat, Sweeteners")</f>
        <v>Wheat, Sweeteners</v>
      </c>
      <c r="H380" s="1" t="s">
        <v>31</v>
      </c>
      <c r="M380" s="1" t="s">
        <v>44</v>
      </c>
    </row>
    <row r="381" ht="15.75" customHeight="1">
      <c r="A381" s="1" t="s">
        <v>844</v>
      </c>
      <c r="C381" s="1" t="s">
        <v>19</v>
      </c>
      <c r="D381" s="1" t="s">
        <v>845</v>
      </c>
      <c r="E381" s="1" t="str">
        <f>IFERROR(__xludf.DUMMYFUNCTION("""COMPUTED_VALUE"""),"Soy, Alliums, Nightshades, Dried Herbs &amp; Spices, Spicy, Sweeteners")</f>
        <v>Soy, Alliums, Nightshades, Dried Herbs &amp; Spices, Spicy, Sweeteners</v>
      </c>
      <c r="I381" s="1" t="s">
        <v>40</v>
      </c>
      <c r="J381" s="1" t="s">
        <v>696</v>
      </c>
      <c r="L381" s="1" t="s">
        <v>252</v>
      </c>
      <c r="M381" s="1" t="s">
        <v>44</v>
      </c>
    </row>
    <row r="382" ht="15.75" customHeight="1">
      <c r="A382" s="1" t="s">
        <v>846</v>
      </c>
      <c r="C382" s="1" t="s">
        <v>19</v>
      </c>
      <c r="D382" s="1" t="s">
        <v>847</v>
      </c>
      <c r="E382" s="1" t="str">
        <f>IFERROR(__xludf.DUMMYFUNCTION("""COMPUTED_VALUE"""),"Non-Dairy Milk, Soy, Sweeteners")</f>
        <v>Non-Dairy Milk, Soy, Sweeteners</v>
      </c>
      <c r="G382" s="1" t="s">
        <v>267</v>
      </c>
      <c r="I382" s="1" t="s">
        <v>40</v>
      </c>
      <c r="M382" s="1" t="s">
        <v>44</v>
      </c>
    </row>
    <row r="383" ht="15.75" customHeight="1">
      <c r="A383" s="1" t="s">
        <v>848</v>
      </c>
      <c r="C383" s="1" t="s">
        <v>19</v>
      </c>
      <c r="D383" s="1" t="s">
        <v>849</v>
      </c>
      <c r="E383" s="1" t="str">
        <f>IFERROR(__xludf.DUMMYFUNCTION("""COMPUTED_VALUE"""),"Soy")</f>
        <v>Soy</v>
      </c>
      <c r="I383" s="1" t="s">
        <v>40</v>
      </c>
    </row>
    <row r="384" ht="15.75" customHeight="1">
      <c r="A384" s="1" t="s">
        <v>850</v>
      </c>
      <c r="C384" s="1" t="s">
        <v>19</v>
      </c>
      <c r="D384" s="1" t="s">
        <v>851</v>
      </c>
      <c r="E384" s="1" t="str">
        <f>IFERROR(__xludf.DUMMYFUNCTION("""COMPUTED_VALUE"""),"Soy")</f>
        <v>Soy</v>
      </c>
      <c r="I384" s="1" t="s">
        <v>40</v>
      </c>
    </row>
    <row r="385" ht="15.75" customHeight="1">
      <c r="A385" s="1" t="s">
        <v>852</v>
      </c>
      <c r="C385" s="1" t="s">
        <v>19</v>
      </c>
      <c r="D385" s="1" t="s">
        <v>853</v>
      </c>
      <c r="E385" s="1" t="str">
        <f>IFERROR(__xludf.DUMMYFUNCTION("""COMPUTED_VALUE"""),"Beans")</f>
        <v>Beans</v>
      </c>
      <c r="I385" s="1" t="s">
        <v>175</v>
      </c>
    </row>
    <row r="386" ht="15.75" customHeight="1">
      <c r="A386" s="1" t="s">
        <v>854</v>
      </c>
      <c r="C386" s="1" t="s">
        <v>19</v>
      </c>
      <c r="D386" s="1" t="s">
        <v>855</v>
      </c>
      <c r="E386" s="1" t="str">
        <f>IFERROR(__xludf.DUMMYFUNCTION("""COMPUTED_VALUE"""),"Pork, Wheat, Corn, Beans, Alliums, Nightshades, Sweeteners")</f>
        <v>Pork, Wheat, Corn, Beans, Alliums, Nightshades, Sweeteners</v>
      </c>
      <c r="F386" s="1" t="s">
        <v>389</v>
      </c>
      <c r="H386" s="1" t="s">
        <v>113</v>
      </c>
      <c r="I386" s="1" t="s">
        <v>175</v>
      </c>
      <c r="J386" s="1" t="s">
        <v>696</v>
      </c>
      <c r="M386" s="1" t="s">
        <v>44</v>
      </c>
    </row>
    <row r="387" ht="15.75" customHeight="1">
      <c r="A387" s="1" t="s">
        <v>856</v>
      </c>
      <c r="C387" s="1" t="s">
        <v>19</v>
      </c>
      <c r="D387" s="1" t="s">
        <v>857</v>
      </c>
      <c r="E387" s="1" t="str">
        <f>IFERROR(__xludf.DUMMYFUNCTION("""COMPUTED_VALUE"""),"Alliums, Spicy")</f>
        <v>Alliums, Spicy</v>
      </c>
      <c r="J387" s="1" t="s">
        <v>126</v>
      </c>
      <c r="L387" s="1" t="s">
        <v>51</v>
      </c>
    </row>
    <row r="388" ht="15.75" customHeight="1">
      <c r="A388" s="1" t="s">
        <v>858</v>
      </c>
      <c r="C388" s="1" t="s">
        <v>19</v>
      </c>
      <c r="D388" s="1" t="s">
        <v>859</v>
      </c>
      <c r="E388" s="1" t="str">
        <f>IFERROR(__xludf.DUMMYFUNCTION("""COMPUTED_VALUE"""),"Pork, Wheat, Corn, Beans, Alliums, Nightshades, Sweeteners")</f>
        <v>Pork, Wheat, Corn, Beans, Alliums, Nightshades, Sweeteners</v>
      </c>
      <c r="F388" s="1" t="s">
        <v>389</v>
      </c>
      <c r="H388" s="1" t="s">
        <v>113</v>
      </c>
      <c r="I388" s="1" t="s">
        <v>175</v>
      </c>
      <c r="J388" s="1" t="s">
        <v>696</v>
      </c>
      <c r="M388" s="1" t="s">
        <v>44</v>
      </c>
    </row>
    <row r="389" ht="15.75" customHeight="1">
      <c r="A389" s="1" t="s">
        <v>860</v>
      </c>
      <c r="C389" s="1" t="s">
        <v>19</v>
      </c>
      <c r="D389" s="1" t="s">
        <v>175</v>
      </c>
      <c r="E389" s="1" t="str">
        <f>IFERROR(__xludf.DUMMYFUNCTION("""COMPUTED_VALUE"""),"Beans")</f>
        <v>Beans</v>
      </c>
      <c r="I389" s="1" t="s">
        <v>175</v>
      </c>
    </row>
    <row r="390" ht="15.75" customHeight="1">
      <c r="A390" s="1" t="s">
        <v>861</v>
      </c>
      <c r="C390" s="1" t="s">
        <v>19</v>
      </c>
      <c r="D390" s="1" t="s">
        <v>862</v>
      </c>
      <c r="E390" s="1" t="str">
        <f>IFERROR(__xludf.DUMMYFUNCTION("""COMPUTED_VALUE"""),"Beans")</f>
        <v>Beans</v>
      </c>
      <c r="I390" s="1" t="s">
        <v>175</v>
      </c>
    </row>
    <row r="391" ht="15.75" customHeight="1">
      <c r="A391" s="1" t="s">
        <v>863</v>
      </c>
      <c r="C391" s="1" t="s">
        <v>19</v>
      </c>
      <c r="D391" s="1" t="s">
        <v>864</v>
      </c>
      <c r="E391" s="1" t="str">
        <f>IFERROR(__xludf.DUMMYFUNCTION("""COMPUTED_VALUE"""),"Others")</f>
        <v>Others</v>
      </c>
      <c r="N391" s="1" t="s">
        <v>12</v>
      </c>
    </row>
    <row r="392" ht="15.75" customHeight="1">
      <c r="A392" s="1" t="s">
        <v>865</v>
      </c>
      <c r="C392" s="1" t="s">
        <v>14</v>
      </c>
      <c r="D392" s="1" t="s">
        <v>866</v>
      </c>
      <c r="E392" s="1" t="str">
        <f>IFERROR(__xludf.DUMMYFUNCTION("""COMPUTED_VALUE"""),"Gluten-Free Grains, Tree Nuts, Dried Herbs &amp; Spices, Sweeteners")</f>
        <v>Gluten-Free Grains, Tree Nuts, Dried Herbs &amp; Spices, Sweeteners</v>
      </c>
      <c r="H392" s="1" t="s">
        <v>80</v>
      </c>
      <c r="I392" s="1" t="s">
        <v>86</v>
      </c>
      <c r="L392" s="1" t="s">
        <v>17</v>
      </c>
      <c r="M392" s="1" t="s">
        <v>44</v>
      </c>
    </row>
    <row r="393" ht="15.75" customHeight="1">
      <c r="A393" s="1" t="s">
        <v>867</v>
      </c>
      <c r="C393" s="1" t="s">
        <v>14</v>
      </c>
      <c r="D393" s="1" t="s">
        <v>868</v>
      </c>
      <c r="E393" s="1" t="str">
        <f>IFERROR(__xludf.DUMMYFUNCTION("""COMPUTED_VALUE"""),"Wheat, Tree Nuts, Peanuts, Sweeteners")</f>
        <v>Wheat, Tree Nuts, Peanuts, Sweeteners</v>
      </c>
      <c r="H393" s="1" t="s">
        <v>31</v>
      </c>
      <c r="I393" s="1" t="s">
        <v>869</v>
      </c>
      <c r="M393" s="1" t="s">
        <v>44</v>
      </c>
    </row>
    <row r="394" ht="15.75" customHeight="1">
      <c r="A394" s="1" t="s">
        <v>870</v>
      </c>
      <c r="C394" s="1" t="s">
        <v>14</v>
      </c>
      <c r="D394" s="1" t="s">
        <v>871</v>
      </c>
      <c r="E394" s="1" t="str">
        <f>IFERROR(__xludf.DUMMYFUNCTION("""COMPUTED_VALUE"""),"Eggs, Dairy, Alliums, Fresh Herbs, Spicy, Alcohol")</f>
        <v>Eggs, Dairy, Alliums, Fresh Herbs, Spicy, Alcohol</v>
      </c>
      <c r="F394" s="1" t="s">
        <v>203</v>
      </c>
      <c r="J394" s="1" t="s">
        <v>126</v>
      </c>
      <c r="L394" s="1" t="s">
        <v>204</v>
      </c>
      <c r="M394" s="1" t="s">
        <v>213</v>
      </c>
    </row>
    <row r="395" ht="15.75" customHeight="1">
      <c r="A395" s="1" t="s">
        <v>872</v>
      </c>
      <c r="C395" s="1" t="s">
        <v>19</v>
      </c>
      <c r="D395" s="1" t="s">
        <v>873</v>
      </c>
      <c r="E395" s="1" t="str">
        <f>IFERROR(__xludf.DUMMYFUNCTION("""COMPUTED_VALUE"""),"Others")</f>
        <v>Others</v>
      </c>
      <c r="N395" s="1" t="s">
        <v>12</v>
      </c>
    </row>
    <row r="396" ht="15.75" customHeight="1">
      <c r="A396" s="1" t="s">
        <v>874</v>
      </c>
      <c r="C396" s="1" t="s">
        <v>19</v>
      </c>
      <c r="D396" s="1" t="s">
        <v>91</v>
      </c>
      <c r="E396" s="1" t="str">
        <f>IFERROR(__xludf.DUMMYFUNCTION("""COMPUTED_VALUE"""),"Beef")</f>
        <v>Beef</v>
      </c>
      <c r="F396" s="1" t="s">
        <v>91</v>
      </c>
    </row>
    <row r="397" ht="15.75" customHeight="1">
      <c r="A397" s="1" t="s">
        <v>875</v>
      </c>
      <c r="C397" s="1" t="s">
        <v>19</v>
      </c>
      <c r="D397" s="1" t="s">
        <v>876</v>
      </c>
      <c r="E397" s="1" t="str">
        <f>IFERROR(__xludf.DUMMYFUNCTION("""COMPUTED_VALUE"""),"Beef, Corn, Alliums, Dried Herbs &amp; Spices, Sweeteners")</f>
        <v>Beef, Corn, Alliums, Dried Herbs &amp; Spices, Sweeteners</v>
      </c>
      <c r="F397" s="1" t="s">
        <v>91</v>
      </c>
      <c r="H397" s="1" t="s">
        <v>161</v>
      </c>
      <c r="J397" s="1" t="s">
        <v>126</v>
      </c>
      <c r="L397" s="1" t="s">
        <v>17</v>
      </c>
      <c r="M397" s="1" t="s">
        <v>44</v>
      </c>
    </row>
    <row r="398" ht="15.75" customHeight="1">
      <c r="A398" s="1" t="s">
        <v>877</v>
      </c>
      <c r="C398" s="1" t="s">
        <v>19</v>
      </c>
      <c r="D398" s="1" t="s">
        <v>878</v>
      </c>
      <c r="E398" s="1" t="str">
        <f>IFERROR(__xludf.DUMMYFUNCTION("""COMPUTED_VALUE"""),"Beef, Alliums, Dried Herbs &amp; Spices")</f>
        <v>Beef, Alliums, Dried Herbs &amp; Spices</v>
      </c>
      <c r="F398" s="1" t="s">
        <v>91</v>
      </c>
      <c r="J398" s="1" t="s">
        <v>126</v>
      </c>
      <c r="L398" s="1" t="s">
        <v>17</v>
      </c>
    </row>
    <row r="399" ht="15.75" customHeight="1">
      <c r="A399" s="1" t="s">
        <v>879</v>
      </c>
      <c r="C399" s="1" t="s">
        <v>19</v>
      </c>
      <c r="D399" s="1" t="s">
        <v>880</v>
      </c>
      <c r="E399" s="1" t="str">
        <f>IFERROR(__xludf.DUMMYFUNCTION("""COMPUTED_VALUE"""),"Beef, Alliums, Fresh Herbs, Spicy")</f>
        <v>Beef, Alliums, Fresh Herbs, Spicy</v>
      </c>
      <c r="F399" s="1" t="s">
        <v>91</v>
      </c>
      <c r="J399" s="1" t="s">
        <v>126</v>
      </c>
      <c r="L399" s="1" t="s">
        <v>204</v>
      </c>
    </row>
    <row r="400" ht="15.75" customHeight="1">
      <c r="A400" s="1" t="s">
        <v>881</v>
      </c>
      <c r="C400" s="1" t="s">
        <v>19</v>
      </c>
      <c r="D400" s="1" t="s">
        <v>882</v>
      </c>
      <c r="E400" s="1" t="str">
        <f>IFERROR(__xludf.DUMMYFUNCTION("""COMPUTED_VALUE"""),"Beef")</f>
        <v>Beef</v>
      </c>
      <c r="F400" s="1" t="s">
        <v>91</v>
      </c>
    </row>
    <row r="401" ht="15.75" customHeight="1">
      <c r="A401" s="1" t="s">
        <v>883</v>
      </c>
      <c r="C401" s="1" t="s">
        <v>19</v>
      </c>
      <c r="D401" s="1" t="s">
        <v>884</v>
      </c>
      <c r="E401" s="1" t="str">
        <f>IFERROR(__xludf.DUMMYFUNCTION("""COMPUTED_VALUE"""),"Beef")</f>
        <v>Beef</v>
      </c>
      <c r="F401" s="1" t="s">
        <v>91</v>
      </c>
    </row>
    <row r="402" ht="15.75" customHeight="1">
      <c r="A402" s="1" t="s">
        <v>885</v>
      </c>
      <c r="C402" s="1" t="s">
        <v>19</v>
      </c>
      <c r="D402" s="1" t="s">
        <v>886</v>
      </c>
      <c r="E402" s="1" t="str">
        <f>IFERROR(__xludf.DUMMYFUNCTION("""COMPUTED_VALUE"""),"Beef")</f>
        <v>Beef</v>
      </c>
      <c r="F402" s="1" t="s">
        <v>91</v>
      </c>
    </row>
    <row r="403" ht="15.75" customHeight="1">
      <c r="A403" s="1" t="s">
        <v>887</v>
      </c>
      <c r="C403" s="1" t="s">
        <v>19</v>
      </c>
      <c r="D403" s="1" t="s">
        <v>888</v>
      </c>
      <c r="E403" s="1" t="str">
        <f>IFERROR(__xludf.DUMMYFUNCTION("""COMPUTED_VALUE"""),"Beef")</f>
        <v>Beef</v>
      </c>
      <c r="F403" s="1" t="s">
        <v>91</v>
      </c>
    </row>
    <row r="404" ht="15.75" customHeight="1">
      <c r="A404" s="1" t="s">
        <v>889</v>
      </c>
      <c r="C404" s="1" t="s">
        <v>19</v>
      </c>
      <c r="D404" s="1" t="s">
        <v>890</v>
      </c>
      <c r="E404" s="1" t="str">
        <f>IFERROR(__xludf.DUMMYFUNCTION("""COMPUTED_VALUE"""),"Beef, Corn, Alliums, Dried Herbs &amp; Spices, Sweeteners")</f>
        <v>Beef, Corn, Alliums, Dried Herbs &amp; Spices, Sweeteners</v>
      </c>
      <c r="F404" s="1" t="s">
        <v>91</v>
      </c>
      <c r="H404" s="1" t="s">
        <v>161</v>
      </c>
      <c r="J404" s="1" t="s">
        <v>126</v>
      </c>
      <c r="L404" s="1" t="s">
        <v>17</v>
      </c>
      <c r="M404" s="1" t="s">
        <v>44</v>
      </c>
    </row>
    <row r="405" ht="15.75" customHeight="1">
      <c r="A405" s="1" t="s">
        <v>891</v>
      </c>
      <c r="C405" s="1" t="s">
        <v>19</v>
      </c>
      <c r="D405" s="1" t="s">
        <v>892</v>
      </c>
      <c r="E405" s="1" t="str">
        <f>IFERROR(__xludf.DUMMYFUNCTION("""COMPUTED_VALUE"""),"Beef")</f>
        <v>Beef</v>
      </c>
      <c r="F405" s="1" t="s">
        <v>91</v>
      </c>
    </row>
    <row r="406" ht="15.75" customHeight="1">
      <c r="A406" s="1" t="s">
        <v>893</v>
      </c>
      <c r="C406" s="1" t="s">
        <v>19</v>
      </c>
      <c r="D406" s="1" t="s">
        <v>894</v>
      </c>
      <c r="E406" s="1" t="str">
        <f>IFERROR(__xludf.DUMMYFUNCTION("""COMPUTED_VALUE"""),"Beef, Alliums, Dried Herbs &amp; Spices, Spicy, Sweeteners")</f>
        <v>Beef, Alliums, Dried Herbs &amp; Spices, Spicy, Sweeteners</v>
      </c>
      <c r="F406" s="1" t="s">
        <v>91</v>
      </c>
      <c r="J406" s="1" t="s">
        <v>126</v>
      </c>
      <c r="L406" s="1" t="s">
        <v>252</v>
      </c>
      <c r="M406" s="1" t="s">
        <v>44</v>
      </c>
    </row>
    <row r="407" ht="15.75" customHeight="1">
      <c r="A407" s="1" t="s">
        <v>895</v>
      </c>
      <c r="C407" s="1" t="s">
        <v>19</v>
      </c>
      <c r="D407" s="1" t="s">
        <v>896</v>
      </c>
      <c r="E407" s="1" t="str">
        <f>IFERROR(__xludf.DUMMYFUNCTION("""COMPUTED_VALUE"""),"Beef")</f>
        <v>Beef</v>
      </c>
      <c r="F407" s="1" t="s">
        <v>91</v>
      </c>
    </row>
    <row r="408" ht="15.75" customHeight="1">
      <c r="A408" s="1" t="s">
        <v>897</v>
      </c>
      <c r="C408" s="1" t="s">
        <v>19</v>
      </c>
      <c r="D408" s="1" t="s">
        <v>898</v>
      </c>
      <c r="E408" s="1" t="str">
        <f>IFERROR(__xludf.DUMMYFUNCTION("""COMPUTED_VALUE"""),"Beef")</f>
        <v>Beef</v>
      </c>
      <c r="F408" s="1" t="s">
        <v>91</v>
      </c>
    </row>
    <row r="409" ht="15.75" customHeight="1">
      <c r="A409" s="1" t="s">
        <v>899</v>
      </c>
      <c r="C409" s="1" t="s">
        <v>19</v>
      </c>
      <c r="D409" s="1" t="s">
        <v>900</v>
      </c>
      <c r="E409" s="1" t="str">
        <f>IFERROR(__xludf.DUMMYFUNCTION("""COMPUTED_VALUE"""),"Beef")</f>
        <v>Beef</v>
      </c>
      <c r="F409" s="1" t="s">
        <v>91</v>
      </c>
    </row>
    <row r="410" ht="15.75" customHeight="1">
      <c r="A410" s="1" t="s">
        <v>901</v>
      </c>
      <c r="C410" s="1" t="s">
        <v>19</v>
      </c>
      <c r="D410" s="1" t="s">
        <v>902</v>
      </c>
      <c r="E410" s="1" t="str">
        <f>IFERROR(__xludf.DUMMYFUNCTION("""COMPUTED_VALUE"""),"Beef")</f>
        <v>Beef</v>
      </c>
      <c r="F410" s="1" t="s">
        <v>91</v>
      </c>
    </row>
    <row r="411" ht="15.75" customHeight="1">
      <c r="A411" s="1" t="s">
        <v>903</v>
      </c>
      <c r="C411" s="1" t="s">
        <v>19</v>
      </c>
      <c r="D411" s="1" t="s">
        <v>904</v>
      </c>
      <c r="E411" s="1" t="str">
        <f>IFERROR(__xludf.DUMMYFUNCTION("""COMPUTED_VALUE"""),"Beef, Alliums, Dried Herbs &amp; Spices, Spicy, Sweeteners")</f>
        <v>Beef, Alliums, Dried Herbs &amp; Spices, Spicy, Sweeteners</v>
      </c>
      <c r="F411" s="1" t="s">
        <v>91</v>
      </c>
      <c r="J411" s="1" t="s">
        <v>126</v>
      </c>
      <c r="L411" s="1" t="s">
        <v>252</v>
      </c>
      <c r="M411" s="1" t="s">
        <v>44</v>
      </c>
    </row>
    <row r="412" ht="15.75" customHeight="1">
      <c r="A412" s="1" t="s">
        <v>905</v>
      </c>
      <c r="C412" s="1" t="s">
        <v>19</v>
      </c>
      <c r="D412" s="1" t="s">
        <v>906</v>
      </c>
      <c r="E412" s="1" t="str">
        <f>IFERROR(__xludf.DUMMYFUNCTION("""COMPUTED_VALUE"""),"Beef, Corn, Alliums, Dried Herbs &amp; Spices, Spicy, Sweeteners")</f>
        <v>Beef, Corn, Alliums, Dried Herbs &amp; Spices, Spicy, Sweeteners</v>
      </c>
      <c r="F412" s="1" t="s">
        <v>91</v>
      </c>
      <c r="H412" s="1" t="s">
        <v>161</v>
      </c>
      <c r="J412" s="1" t="s">
        <v>126</v>
      </c>
      <c r="L412" s="1" t="s">
        <v>252</v>
      </c>
      <c r="M412" s="1" t="s">
        <v>44</v>
      </c>
    </row>
    <row r="413" ht="15.75" customHeight="1">
      <c r="A413" s="1" t="s">
        <v>907</v>
      </c>
      <c r="C413" s="1" t="s">
        <v>19</v>
      </c>
      <c r="D413" s="1" t="s">
        <v>908</v>
      </c>
      <c r="E413" s="1" t="str">
        <f>IFERROR(__xludf.DUMMYFUNCTION("""COMPUTED_VALUE"""),"Alliums, Dried Herbs &amp; Spices, Fresh Herbs")</f>
        <v>Alliums, Dried Herbs &amp; Spices, Fresh Herbs</v>
      </c>
      <c r="J413" s="1" t="s">
        <v>126</v>
      </c>
      <c r="L413" s="1" t="s">
        <v>811</v>
      </c>
    </row>
    <row r="414" ht="15.75" customHeight="1">
      <c r="A414" s="1" t="s">
        <v>909</v>
      </c>
      <c r="C414" s="1" t="s">
        <v>19</v>
      </c>
      <c r="D414" s="1" t="s">
        <v>910</v>
      </c>
      <c r="E414" s="1" t="str">
        <f>IFERROR(__xludf.DUMMYFUNCTION("""COMPUTED_VALUE"""),"Beef, Nightshades, Alliums, Dried Herbs &amp; Spices, Spicy, Sweeteners")</f>
        <v>Beef, Nightshades, Alliums, Dried Herbs &amp; Spices, Spicy, Sweeteners</v>
      </c>
      <c r="F414" s="1" t="s">
        <v>91</v>
      </c>
      <c r="J414" s="1" t="s">
        <v>313</v>
      </c>
      <c r="L414" s="1" t="s">
        <v>252</v>
      </c>
      <c r="M414" s="1" t="s">
        <v>44</v>
      </c>
    </row>
    <row r="415" ht="15.75" customHeight="1">
      <c r="A415" s="1" t="s">
        <v>911</v>
      </c>
      <c r="C415" s="1" t="s">
        <v>19</v>
      </c>
      <c r="D415" s="1" t="s">
        <v>912</v>
      </c>
      <c r="E415" s="1" t="str">
        <f>IFERROR(__xludf.DUMMYFUNCTION("""COMPUTED_VALUE"""),"Alliums, Dried Herbs &amp; Spices, Fresh Herbs, Alcohol")</f>
        <v>Alliums, Dried Herbs &amp; Spices, Fresh Herbs, Alcohol</v>
      </c>
      <c r="J415" s="1" t="s">
        <v>126</v>
      </c>
      <c r="L415" s="1" t="s">
        <v>811</v>
      </c>
      <c r="M415" s="1" t="s">
        <v>213</v>
      </c>
    </row>
    <row r="416" ht="15.75" customHeight="1">
      <c r="A416" s="1" t="s">
        <v>913</v>
      </c>
      <c r="C416" s="1" t="s">
        <v>19</v>
      </c>
      <c r="D416" s="1" t="s">
        <v>914</v>
      </c>
      <c r="E416" s="1" t="str">
        <f>IFERROR(__xludf.DUMMYFUNCTION("""COMPUTED_VALUE"""),"Beef")</f>
        <v>Beef</v>
      </c>
      <c r="F416" s="1" t="s">
        <v>91</v>
      </c>
    </row>
    <row r="417" ht="15.75" customHeight="1">
      <c r="A417" s="1" t="s">
        <v>915</v>
      </c>
      <c r="C417" s="1" t="s">
        <v>19</v>
      </c>
      <c r="D417" s="1" t="s">
        <v>916</v>
      </c>
      <c r="E417" s="1" t="str">
        <f>IFERROR(__xludf.DUMMYFUNCTION("""COMPUTED_VALUE"""),"Beef")</f>
        <v>Beef</v>
      </c>
      <c r="F417" s="1" t="s">
        <v>91</v>
      </c>
    </row>
    <row r="418" ht="15.75" customHeight="1">
      <c r="A418" s="1" t="s">
        <v>917</v>
      </c>
      <c r="C418" s="1" t="s">
        <v>19</v>
      </c>
      <c r="D418" s="1" t="s">
        <v>918</v>
      </c>
      <c r="E418" s="1" t="str">
        <f>IFERROR(__xludf.DUMMYFUNCTION("""COMPUTED_VALUE"""),"Beef")</f>
        <v>Beef</v>
      </c>
      <c r="F418" s="1" t="s">
        <v>91</v>
      </c>
    </row>
    <row r="419" ht="15.75" customHeight="1">
      <c r="A419" s="1" t="s">
        <v>919</v>
      </c>
      <c r="C419" s="1" t="s">
        <v>19</v>
      </c>
      <c r="D419" s="1" t="s">
        <v>920</v>
      </c>
      <c r="E419" s="1" t="str">
        <f>IFERROR(__xludf.DUMMYFUNCTION("""COMPUTED_VALUE"""),"Beef")</f>
        <v>Beef</v>
      </c>
      <c r="F419" s="1" t="s">
        <v>91</v>
      </c>
    </row>
    <row r="420" ht="15.75" customHeight="1">
      <c r="A420" s="1" t="s">
        <v>921</v>
      </c>
      <c r="C420" s="1" t="s">
        <v>19</v>
      </c>
      <c r="D420" s="1" t="s">
        <v>922</v>
      </c>
      <c r="E420" s="1" t="str">
        <f>IFERROR(__xludf.DUMMYFUNCTION("""COMPUTED_VALUE"""),"Beef")</f>
        <v>Beef</v>
      </c>
      <c r="F420" s="1" t="s">
        <v>91</v>
      </c>
    </row>
    <row r="421" ht="15.75" customHeight="1">
      <c r="A421" s="1" t="s">
        <v>923</v>
      </c>
      <c r="C421" s="1" t="s">
        <v>19</v>
      </c>
      <c r="D421" s="1" t="s">
        <v>924</v>
      </c>
      <c r="E421" s="1" t="str">
        <f>IFERROR(__xludf.DUMMYFUNCTION("""COMPUTED_VALUE"""),"Beef")</f>
        <v>Beef</v>
      </c>
      <c r="F421" s="1" t="s">
        <v>91</v>
      </c>
    </row>
    <row r="422" ht="15.75" customHeight="1">
      <c r="A422" s="1" t="s">
        <v>925</v>
      </c>
      <c r="C422" s="1" t="s">
        <v>19</v>
      </c>
      <c r="D422" s="1" t="s">
        <v>926</v>
      </c>
      <c r="E422" s="1" t="str">
        <f>IFERROR(__xludf.DUMMYFUNCTION("""COMPUTED_VALUE"""),"Beef")</f>
        <v>Beef</v>
      </c>
      <c r="F422" s="1" t="s">
        <v>91</v>
      </c>
    </row>
    <row r="423" ht="15.75" customHeight="1">
      <c r="A423" s="1" t="s">
        <v>927</v>
      </c>
      <c r="C423" s="1" t="s">
        <v>19</v>
      </c>
      <c r="D423" s="1" t="s">
        <v>928</v>
      </c>
      <c r="E423" s="1" t="str">
        <f>IFERROR(__xludf.DUMMYFUNCTION("""COMPUTED_VALUE"""),"Beef")</f>
        <v>Beef</v>
      </c>
      <c r="F423" s="1" t="s">
        <v>91</v>
      </c>
    </row>
    <row r="424" ht="15.75" customHeight="1">
      <c r="A424" s="1" t="s">
        <v>929</v>
      </c>
      <c r="C424" s="1" t="s">
        <v>19</v>
      </c>
      <c r="D424" s="1" t="s">
        <v>930</v>
      </c>
      <c r="E424" s="1" t="str">
        <f>IFERROR(__xludf.DUMMYFUNCTION("""COMPUTED_VALUE"""),"Beef")</f>
        <v>Beef</v>
      </c>
      <c r="F424" s="1" t="s">
        <v>91</v>
      </c>
    </row>
    <row r="425" ht="15.75" customHeight="1">
      <c r="A425" s="1" t="s">
        <v>931</v>
      </c>
      <c r="C425" s="1" t="s">
        <v>19</v>
      </c>
      <c r="D425" s="1" t="s">
        <v>932</v>
      </c>
      <c r="E425" s="1" t="str">
        <f>IFERROR(__xludf.DUMMYFUNCTION("""COMPUTED_VALUE"""),"Beef")</f>
        <v>Beef</v>
      </c>
      <c r="F425" s="1" t="s">
        <v>91</v>
      </c>
    </row>
    <row r="426" ht="15.75" customHeight="1">
      <c r="A426" s="1" t="s">
        <v>933</v>
      </c>
      <c r="C426" s="1" t="s">
        <v>19</v>
      </c>
      <c r="D426" s="1" t="s">
        <v>934</v>
      </c>
      <c r="E426" s="1" t="str">
        <f>IFERROR(__xludf.DUMMYFUNCTION("""COMPUTED_VALUE"""),"Beef")</f>
        <v>Beef</v>
      </c>
      <c r="F426" s="1" t="s">
        <v>91</v>
      </c>
    </row>
    <row r="427" ht="15.75" customHeight="1">
      <c r="A427" s="1" t="s">
        <v>935</v>
      </c>
      <c r="C427" s="1" t="s">
        <v>19</v>
      </c>
      <c r="D427" s="1" t="s">
        <v>936</v>
      </c>
      <c r="E427" s="1" t="str">
        <f>IFERROR(__xludf.DUMMYFUNCTION("""COMPUTED_VALUE"""),"Beef")</f>
        <v>Beef</v>
      </c>
      <c r="F427" s="1" t="s">
        <v>91</v>
      </c>
    </row>
    <row r="428" ht="15.75" customHeight="1">
      <c r="A428" s="1" t="s">
        <v>937</v>
      </c>
      <c r="C428" s="1" t="s">
        <v>19</v>
      </c>
      <c r="D428" s="1" t="s">
        <v>938</v>
      </c>
      <c r="E428" s="1" t="str">
        <f>IFERROR(__xludf.DUMMYFUNCTION("""COMPUTED_VALUE"""),"Beef")</f>
        <v>Beef</v>
      </c>
      <c r="F428" s="1" t="s">
        <v>91</v>
      </c>
    </row>
    <row r="429" ht="15.75" customHeight="1">
      <c r="A429" s="1" t="s">
        <v>939</v>
      </c>
      <c r="C429" s="1" t="s">
        <v>19</v>
      </c>
      <c r="D429" s="1" t="s">
        <v>940</v>
      </c>
      <c r="E429" s="1" t="str">
        <f>IFERROR(__xludf.DUMMYFUNCTION("""COMPUTED_VALUE"""),"Beef")</f>
        <v>Beef</v>
      </c>
      <c r="F429" s="1" t="s">
        <v>91</v>
      </c>
    </row>
    <row r="430" ht="15.75" customHeight="1">
      <c r="A430" s="1" t="s">
        <v>941</v>
      </c>
      <c r="C430" s="1" t="s">
        <v>19</v>
      </c>
      <c r="D430" s="1" t="s">
        <v>942</v>
      </c>
      <c r="E430" s="1" t="str">
        <f>IFERROR(__xludf.DUMMYFUNCTION("""COMPUTED_VALUE"""),"Beef")</f>
        <v>Beef</v>
      </c>
      <c r="F430" s="1" t="s">
        <v>91</v>
      </c>
    </row>
    <row r="431" ht="15.75" customHeight="1">
      <c r="A431" s="1" t="s">
        <v>943</v>
      </c>
      <c r="C431" s="1" t="s">
        <v>19</v>
      </c>
      <c r="D431" s="1" t="s">
        <v>944</v>
      </c>
      <c r="E431" s="1" t="str">
        <f>IFERROR(__xludf.DUMMYFUNCTION("""COMPUTED_VALUE"""),"Beef")</f>
        <v>Beef</v>
      </c>
      <c r="F431" s="1" t="s">
        <v>91</v>
      </c>
    </row>
    <row r="432" ht="15.75" customHeight="1">
      <c r="A432" s="1" t="s">
        <v>945</v>
      </c>
      <c r="C432" s="1" t="s">
        <v>19</v>
      </c>
      <c r="D432" s="1" t="s">
        <v>946</v>
      </c>
      <c r="E432" s="1" t="str">
        <f>IFERROR(__xludf.DUMMYFUNCTION("""COMPUTED_VALUE"""),"Beef")</f>
        <v>Beef</v>
      </c>
      <c r="F432" s="1" t="s">
        <v>91</v>
      </c>
    </row>
    <row r="433" ht="15.75" customHeight="1">
      <c r="A433" s="1" t="s">
        <v>947</v>
      </c>
      <c r="C433" s="1" t="s">
        <v>19</v>
      </c>
      <c r="D433" s="1" t="s">
        <v>948</v>
      </c>
      <c r="E433" s="1" t="str">
        <f>IFERROR(__xludf.DUMMYFUNCTION("""COMPUTED_VALUE"""),"Beef, Alliums, Dried Herbs &amp; Spices, Spicy, Sweeteners")</f>
        <v>Beef, Alliums, Dried Herbs &amp; Spices, Spicy, Sweeteners</v>
      </c>
      <c r="F433" s="1" t="s">
        <v>91</v>
      </c>
      <c r="J433" s="1" t="s">
        <v>126</v>
      </c>
      <c r="L433" s="1" t="s">
        <v>252</v>
      </c>
      <c r="M433" s="1" t="s">
        <v>44</v>
      </c>
    </row>
    <row r="434" ht="15.75" customHeight="1">
      <c r="A434" s="1" t="s">
        <v>949</v>
      </c>
      <c r="C434" s="1" t="s">
        <v>19</v>
      </c>
      <c r="D434" s="1" t="s">
        <v>950</v>
      </c>
      <c r="E434" s="1" t="str">
        <f>IFERROR(__xludf.DUMMYFUNCTION("""COMPUTED_VALUE"""),"Beef, Alliums, Dried Herbs &amp; Spices, Spicy, Sweeteners")</f>
        <v>Beef, Alliums, Dried Herbs &amp; Spices, Spicy, Sweeteners</v>
      </c>
      <c r="F434" s="1" t="s">
        <v>91</v>
      </c>
      <c r="J434" s="1" t="s">
        <v>126</v>
      </c>
      <c r="L434" s="1" t="s">
        <v>252</v>
      </c>
      <c r="M434" s="1" t="s">
        <v>44</v>
      </c>
    </row>
    <row r="435" ht="15.75" customHeight="1">
      <c r="A435" s="1" t="s">
        <v>951</v>
      </c>
      <c r="C435" s="1" t="s">
        <v>19</v>
      </c>
      <c r="D435" s="1" t="s">
        <v>952</v>
      </c>
      <c r="E435" s="1" t="str">
        <f>IFERROR(__xludf.DUMMYFUNCTION("""COMPUTED_VALUE"""),"Beef, Potatoes, Dried Herbs &amp; Spices, Sweeteners")</f>
        <v>Beef, Potatoes, Dried Herbs &amp; Spices, Sweeteners</v>
      </c>
      <c r="F435" s="1" t="s">
        <v>91</v>
      </c>
      <c r="H435" s="1" t="s">
        <v>222</v>
      </c>
      <c r="L435" s="1" t="s">
        <v>17</v>
      </c>
      <c r="M435" s="1" t="s">
        <v>44</v>
      </c>
    </row>
    <row r="436" ht="15.75" customHeight="1">
      <c r="A436" s="1" t="s">
        <v>953</v>
      </c>
      <c r="C436" s="1" t="s">
        <v>19</v>
      </c>
      <c r="D436" s="1" t="s">
        <v>954</v>
      </c>
      <c r="E436" s="1" t="str">
        <f>IFERROR(__xludf.DUMMYFUNCTION("""COMPUTED_VALUE"""),"Beef, Wheat, Corn, Alliums, Dried Herbs &amp; Spices, Sweeteners")</f>
        <v>Beef, Wheat, Corn, Alliums, Dried Herbs &amp; Spices, Sweeteners</v>
      </c>
      <c r="F436" s="1" t="s">
        <v>91</v>
      </c>
      <c r="H436" s="1" t="s">
        <v>113</v>
      </c>
      <c r="J436" s="1" t="s">
        <v>126</v>
      </c>
      <c r="L436" s="1" t="s">
        <v>17</v>
      </c>
      <c r="M436" s="1" t="s">
        <v>44</v>
      </c>
    </row>
    <row r="437" ht="15.75" customHeight="1">
      <c r="A437" s="1" t="s">
        <v>955</v>
      </c>
      <c r="C437" s="1" t="s">
        <v>19</v>
      </c>
      <c r="D437" s="1" t="s">
        <v>956</v>
      </c>
      <c r="E437" s="1" t="str">
        <f>IFERROR(__xludf.DUMMYFUNCTION("""COMPUTED_VALUE"""),"Beef, Wheat, Corn, Alliums, Dried Herbs &amp; Spices, Sweeteners")</f>
        <v>Beef, Wheat, Corn, Alliums, Dried Herbs &amp; Spices, Sweeteners</v>
      </c>
      <c r="F437" s="1" t="s">
        <v>91</v>
      </c>
      <c r="H437" s="1" t="s">
        <v>113</v>
      </c>
      <c r="J437" s="1" t="s">
        <v>126</v>
      </c>
      <c r="L437" s="1" t="s">
        <v>17</v>
      </c>
      <c r="M437" s="1" t="s">
        <v>44</v>
      </c>
    </row>
    <row r="438" ht="15.75" customHeight="1">
      <c r="A438" s="1" t="s">
        <v>957</v>
      </c>
      <c r="C438" s="1" t="s">
        <v>19</v>
      </c>
      <c r="D438" s="1" t="s">
        <v>958</v>
      </c>
      <c r="E438" s="1" t="str">
        <f>IFERROR(__xludf.DUMMYFUNCTION("""COMPUTED_VALUE"""),"Beef")</f>
        <v>Beef</v>
      </c>
      <c r="F438" s="1" t="s">
        <v>91</v>
      </c>
    </row>
    <row r="439" ht="15.75" customHeight="1">
      <c r="A439" s="1" t="s">
        <v>959</v>
      </c>
      <c r="C439" s="1" t="s">
        <v>19</v>
      </c>
      <c r="D439" s="1" t="s">
        <v>960</v>
      </c>
      <c r="E439" s="1" t="str">
        <f>IFERROR(__xludf.DUMMYFUNCTION("""COMPUTED_VALUE"""),"Beef")</f>
        <v>Beef</v>
      </c>
      <c r="F439" s="1" t="s">
        <v>91</v>
      </c>
    </row>
    <row r="440" ht="15.75" customHeight="1">
      <c r="A440" s="1" t="s">
        <v>961</v>
      </c>
      <c r="C440" s="1" t="s">
        <v>19</v>
      </c>
      <c r="D440" s="1" t="s">
        <v>962</v>
      </c>
      <c r="E440" s="1" t="str">
        <f>IFERROR(__xludf.DUMMYFUNCTION("""COMPUTED_VALUE"""),"Beef, Fish, Soy, Alliums, Spicy")</f>
        <v>Beef, Fish, Soy, Alliums, Spicy</v>
      </c>
      <c r="F440" s="1" t="s">
        <v>963</v>
      </c>
      <c r="I440" s="1" t="s">
        <v>40</v>
      </c>
      <c r="J440" s="1" t="s">
        <v>126</v>
      </c>
      <c r="L440" s="1" t="s">
        <v>51</v>
      </c>
    </row>
    <row r="441" ht="15.75" customHeight="1">
      <c r="A441" s="1" t="s">
        <v>964</v>
      </c>
      <c r="C441" s="1" t="s">
        <v>19</v>
      </c>
      <c r="D441" s="1" t="s">
        <v>965</v>
      </c>
      <c r="E441" s="1" t="str">
        <f>IFERROR(__xludf.DUMMYFUNCTION("""COMPUTED_VALUE"""),"Beef")</f>
        <v>Beef</v>
      </c>
      <c r="F441" s="1" t="s">
        <v>91</v>
      </c>
    </row>
    <row r="442" ht="15.75" customHeight="1">
      <c r="A442" s="1" t="s">
        <v>966</v>
      </c>
      <c r="C442" s="1" t="s">
        <v>19</v>
      </c>
      <c r="D442" s="1" t="s">
        <v>967</v>
      </c>
      <c r="E442" s="1" t="str">
        <f>IFERROR(__xludf.DUMMYFUNCTION("""COMPUTED_VALUE"""),"Beef")</f>
        <v>Beef</v>
      </c>
      <c r="F442" s="1" t="s">
        <v>91</v>
      </c>
    </row>
    <row r="443" ht="15.75" customHeight="1">
      <c r="A443" s="1" t="s">
        <v>968</v>
      </c>
      <c r="C443" s="1" t="s">
        <v>19</v>
      </c>
      <c r="D443" s="1" t="s">
        <v>969</v>
      </c>
      <c r="E443" s="1" t="str">
        <f>IFERROR(__xludf.DUMMYFUNCTION("""COMPUTED_VALUE"""),"Beef")</f>
        <v>Beef</v>
      </c>
      <c r="F443" s="1" t="s">
        <v>91</v>
      </c>
    </row>
    <row r="444" ht="15.75" customHeight="1">
      <c r="A444" s="1" t="s">
        <v>970</v>
      </c>
      <c r="C444" s="1" t="s">
        <v>19</v>
      </c>
      <c r="D444" s="1" t="s">
        <v>971</v>
      </c>
      <c r="E444" s="1" t="str">
        <f>IFERROR(__xludf.DUMMYFUNCTION("""COMPUTED_VALUE"""),"Beef")</f>
        <v>Beef</v>
      </c>
      <c r="F444" s="1" t="s">
        <v>91</v>
      </c>
    </row>
    <row r="445" ht="15.75" customHeight="1">
      <c r="A445" s="1" t="s">
        <v>972</v>
      </c>
      <c r="C445" s="1" t="s">
        <v>19</v>
      </c>
      <c r="D445" s="1" t="s">
        <v>973</v>
      </c>
      <c r="E445" s="1" t="str">
        <f>IFERROR(__xludf.DUMMYFUNCTION("""COMPUTED_VALUE"""),"Beef, Pork, Alliums, Dried Herbs &amp; Spices, Spicy")</f>
        <v>Beef, Pork, Alliums, Dried Herbs &amp; Spices, Spicy</v>
      </c>
      <c r="F445" s="1" t="s">
        <v>974</v>
      </c>
      <c r="J445" s="1" t="s">
        <v>126</v>
      </c>
      <c r="L445" s="1" t="s">
        <v>252</v>
      </c>
    </row>
    <row r="446" ht="15.75" customHeight="1">
      <c r="A446" s="1" t="s">
        <v>975</v>
      </c>
      <c r="C446" s="1" t="s">
        <v>19</v>
      </c>
      <c r="D446" s="1" t="s">
        <v>976</v>
      </c>
      <c r="E446" s="1" t="str">
        <f>IFERROR(__xludf.DUMMYFUNCTION("""COMPUTED_VALUE"""),"Beef, Alliums, Dried Herbs &amp; Spices, Fresh Herbs, Spicy")</f>
        <v>Beef, Alliums, Dried Herbs &amp; Spices, Fresh Herbs, Spicy</v>
      </c>
      <c r="F446" s="1" t="s">
        <v>91</v>
      </c>
      <c r="J446" s="1" t="s">
        <v>126</v>
      </c>
      <c r="L446" s="1" t="s">
        <v>977</v>
      </c>
    </row>
    <row r="447" ht="15.75" customHeight="1">
      <c r="A447" s="1" t="s">
        <v>978</v>
      </c>
      <c r="C447" s="1" t="s">
        <v>19</v>
      </c>
      <c r="D447" s="1" t="s">
        <v>979</v>
      </c>
      <c r="E447" s="1" t="str">
        <f>IFERROR(__xludf.DUMMYFUNCTION("""COMPUTED_VALUE"""),"Beef")</f>
        <v>Beef</v>
      </c>
      <c r="F447" s="1" t="s">
        <v>91</v>
      </c>
    </row>
    <row r="448" ht="15.75" customHeight="1">
      <c r="A448" s="1" t="s">
        <v>980</v>
      </c>
      <c r="C448" s="1" t="s">
        <v>14</v>
      </c>
      <c r="D448" s="1" t="s">
        <v>981</v>
      </c>
      <c r="E448" s="1" t="str">
        <f>IFERROR(__xludf.DUMMYFUNCTION("""COMPUTED_VALUE"""),"Beef")</f>
        <v>Beef</v>
      </c>
      <c r="F448" s="1" t="s">
        <v>91</v>
      </c>
    </row>
    <row r="449" ht="15.75" customHeight="1">
      <c r="A449" s="1" t="s">
        <v>982</v>
      </c>
      <c r="C449" s="1" t="s">
        <v>19</v>
      </c>
      <c r="D449" s="1" t="s">
        <v>983</v>
      </c>
      <c r="E449" s="1" t="str">
        <f>IFERROR(__xludf.DUMMYFUNCTION("""COMPUTED_VALUE"""),"Beef")</f>
        <v>Beef</v>
      </c>
      <c r="F449" s="1" t="s">
        <v>91</v>
      </c>
    </row>
    <row r="450" ht="15.75" customHeight="1">
      <c r="A450" s="1" t="s">
        <v>984</v>
      </c>
      <c r="C450" s="1" t="s">
        <v>14</v>
      </c>
      <c r="D450" s="1" t="s">
        <v>985</v>
      </c>
      <c r="E450" s="1" t="str">
        <f>IFERROR(__xludf.DUMMYFUNCTION("""COMPUTED_VALUE"""),"Beef")</f>
        <v>Beef</v>
      </c>
      <c r="F450" s="1" t="s">
        <v>91</v>
      </c>
    </row>
    <row r="451" ht="15.75" customHeight="1">
      <c r="A451" s="1" t="s">
        <v>986</v>
      </c>
      <c r="C451" s="1" t="s">
        <v>19</v>
      </c>
      <c r="D451" s="1" t="s">
        <v>987</v>
      </c>
      <c r="E451" s="1" t="str">
        <f>IFERROR(__xludf.DUMMYFUNCTION("""COMPUTED_VALUE"""),"Beef, Wheat, Corn, Soy, Mushrooms, Alliums, Dried Herbs &amp; Spices, Sweeteners")</f>
        <v>Beef, Wheat, Corn, Soy, Mushrooms, Alliums, Dried Herbs &amp; Spices, Sweeteners</v>
      </c>
      <c r="F451" s="1" t="s">
        <v>91</v>
      </c>
      <c r="H451" s="1" t="s">
        <v>113</v>
      </c>
      <c r="I451" s="1" t="s">
        <v>40</v>
      </c>
      <c r="J451" s="1" t="s">
        <v>988</v>
      </c>
      <c r="L451" s="1" t="s">
        <v>17</v>
      </c>
      <c r="M451" s="1" t="s">
        <v>44</v>
      </c>
    </row>
    <row r="452" ht="15.75" customHeight="1">
      <c r="A452" s="1" t="s">
        <v>989</v>
      </c>
      <c r="C452" s="1" t="s">
        <v>19</v>
      </c>
      <c r="D452" s="1" t="s">
        <v>990</v>
      </c>
      <c r="E452" s="1" t="str">
        <f>IFERROR(__xludf.DUMMYFUNCTION("""COMPUTED_VALUE"""),"Beef, Wheat, Corn, Soy, Mushrooms, Alliums, Sweeteners")</f>
        <v>Beef, Wheat, Corn, Soy, Mushrooms, Alliums, Sweeteners</v>
      </c>
      <c r="F452" s="1" t="s">
        <v>91</v>
      </c>
      <c r="H452" s="1" t="s">
        <v>113</v>
      </c>
      <c r="I452" s="1" t="s">
        <v>40</v>
      </c>
      <c r="J452" s="1" t="s">
        <v>988</v>
      </c>
      <c r="M452" s="1" t="s">
        <v>44</v>
      </c>
    </row>
    <row r="453" ht="15.75" customHeight="1">
      <c r="A453" s="1" t="s">
        <v>991</v>
      </c>
      <c r="C453" s="1" t="s">
        <v>19</v>
      </c>
      <c r="D453" s="1" t="s">
        <v>992</v>
      </c>
      <c r="E453" s="1" t="str">
        <f>IFERROR(__xludf.DUMMYFUNCTION("""COMPUTED_VALUE"""),"Beef, Wheat")</f>
        <v>Beef, Wheat</v>
      </c>
      <c r="F453" s="1" t="s">
        <v>91</v>
      </c>
      <c r="H453" s="1" t="s">
        <v>31</v>
      </c>
    </row>
    <row r="454" ht="15.75" customHeight="1">
      <c r="A454" s="1" t="s">
        <v>993</v>
      </c>
      <c r="C454" s="1" t="s">
        <v>19</v>
      </c>
      <c r="D454" s="1" t="s">
        <v>994</v>
      </c>
      <c r="E454" s="1" t="str">
        <f>IFERROR(__xludf.DUMMYFUNCTION("""COMPUTED_VALUE"""),"Beef")</f>
        <v>Beef</v>
      </c>
      <c r="F454" s="1" t="s">
        <v>91</v>
      </c>
    </row>
    <row r="455" ht="15.75" customHeight="1">
      <c r="A455" s="1" t="s">
        <v>995</v>
      </c>
      <c r="C455" s="1" t="s">
        <v>19</v>
      </c>
      <c r="D455" s="1" t="s">
        <v>996</v>
      </c>
      <c r="E455" s="1" t="str">
        <f>IFERROR(__xludf.DUMMYFUNCTION("""COMPUTED_VALUE"""),"Beef")</f>
        <v>Beef</v>
      </c>
      <c r="F455" s="1" t="s">
        <v>91</v>
      </c>
    </row>
    <row r="456" ht="15.75" customHeight="1">
      <c r="A456" s="1" t="s">
        <v>997</v>
      </c>
      <c r="C456" s="1" t="s">
        <v>19</v>
      </c>
      <c r="D456" s="1" t="s">
        <v>998</v>
      </c>
      <c r="E456" s="1" t="str">
        <f>IFERROR(__xludf.DUMMYFUNCTION("""COMPUTED_VALUE"""),"Beef")</f>
        <v>Beef</v>
      </c>
      <c r="F456" s="1" t="s">
        <v>91</v>
      </c>
    </row>
    <row r="457" ht="15.75" customHeight="1">
      <c r="A457" s="1" t="s">
        <v>999</v>
      </c>
      <c r="C457" s="1" t="s">
        <v>19</v>
      </c>
      <c r="D457" s="1" t="s">
        <v>1000</v>
      </c>
      <c r="E457" s="1" t="str">
        <f>IFERROR(__xludf.DUMMYFUNCTION("""COMPUTED_VALUE"""),"Beef, Alliums, Dried Herbs &amp; Spices, Spicy, Sweeteners")</f>
        <v>Beef, Alliums, Dried Herbs &amp; Spices, Spicy, Sweeteners</v>
      </c>
      <c r="F457" s="1" t="s">
        <v>91</v>
      </c>
      <c r="J457" s="1" t="s">
        <v>126</v>
      </c>
      <c r="L457" s="1" t="s">
        <v>252</v>
      </c>
      <c r="M457" s="1" t="s">
        <v>44</v>
      </c>
    </row>
    <row r="458" ht="15.75" customHeight="1">
      <c r="A458" s="1" t="s">
        <v>1001</v>
      </c>
      <c r="C458" s="1" t="s">
        <v>19</v>
      </c>
      <c r="D458" s="1" t="s">
        <v>1002</v>
      </c>
      <c r="E458" s="1" t="str">
        <f>IFERROR(__xludf.DUMMYFUNCTION("""COMPUTED_VALUE"""),"Beef")</f>
        <v>Beef</v>
      </c>
      <c r="F458" s="1" t="s">
        <v>91</v>
      </c>
    </row>
    <row r="459" ht="15.75" customHeight="1">
      <c r="A459" s="1" t="s">
        <v>1003</v>
      </c>
      <c r="C459" s="1" t="s">
        <v>19</v>
      </c>
      <c r="D459" s="1" t="s">
        <v>1004</v>
      </c>
      <c r="E459" s="1" t="str">
        <f>IFERROR(__xludf.DUMMYFUNCTION("""COMPUTED_VALUE"""),"Beef, Pork, Alliums, Dried Herbs &amp; Spices, Spicy, Sweeteners")</f>
        <v>Beef, Pork, Alliums, Dried Herbs &amp; Spices, Spicy, Sweeteners</v>
      </c>
      <c r="F459" s="1" t="s">
        <v>974</v>
      </c>
      <c r="J459" s="1" t="s">
        <v>126</v>
      </c>
      <c r="L459" s="1" t="s">
        <v>252</v>
      </c>
      <c r="M459" s="1" t="s">
        <v>44</v>
      </c>
    </row>
    <row r="460" ht="15.75" customHeight="1">
      <c r="A460" s="1" t="s">
        <v>1005</v>
      </c>
      <c r="C460" s="1" t="s">
        <v>19</v>
      </c>
      <c r="D460" s="1" t="s">
        <v>1006</v>
      </c>
      <c r="E460" s="1" t="str">
        <f>IFERROR(__xludf.DUMMYFUNCTION("""COMPUTED_VALUE"""),"Beef, Pork, Dried Herbs &amp; Spices, Spicy, Sweeteners")</f>
        <v>Beef, Pork, Dried Herbs &amp; Spices, Spicy, Sweeteners</v>
      </c>
      <c r="F460" s="1" t="s">
        <v>974</v>
      </c>
      <c r="L460" s="1" t="s">
        <v>252</v>
      </c>
      <c r="M460" s="1" t="s">
        <v>44</v>
      </c>
    </row>
    <row r="461" ht="15.75" customHeight="1">
      <c r="A461" s="1" t="s">
        <v>1007</v>
      </c>
      <c r="C461" s="1" t="s">
        <v>19</v>
      </c>
      <c r="D461" s="1" t="s">
        <v>1008</v>
      </c>
      <c r="E461" s="1" t="str">
        <f>IFERROR(__xludf.DUMMYFUNCTION("""COMPUTED_VALUE"""),"Beef, Pork, Alliums, Dried Herbs &amp; Spices, Spicy, Sweeteners")</f>
        <v>Beef, Pork, Alliums, Dried Herbs &amp; Spices, Spicy, Sweeteners</v>
      </c>
      <c r="F461" s="1" t="s">
        <v>974</v>
      </c>
      <c r="J461" s="1" t="s">
        <v>126</v>
      </c>
      <c r="L461" s="1" t="s">
        <v>252</v>
      </c>
      <c r="M461" s="1" t="s">
        <v>44</v>
      </c>
    </row>
    <row r="462" ht="15.75" customHeight="1">
      <c r="A462" s="1" t="s">
        <v>1009</v>
      </c>
      <c r="C462" s="1" t="s">
        <v>19</v>
      </c>
      <c r="D462" s="1" t="s">
        <v>1010</v>
      </c>
      <c r="E462" s="1" t="str">
        <f>IFERROR(__xludf.DUMMYFUNCTION("""COMPUTED_VALUE"""),"Beef, Pork, Alliums, Dried Herbs &amp; Spices, Spicy, Sweeteners")</f>
        <v>Beef, Pork, Alliums, Dried Herbs &amp; Spices, Spicy, Sweeteners</v>
      </c>
      <c r="F462" s="1" t="s">
        <v>974</v>
      </c>
      <c r="J462" s="1" t="s">
        <v>126</v>
      </c>
      <c r="L462" s="1" t="s">
        <v>252</v>
      </c>
      <c r="M462" s="1" t="s">
        <v>44</v>
      </c>
    </row>
    <row r="463" ht="15.75" customHeight="1">
      <c r="A463" s="1" t="s">
        <v>1011</v>
      </c>
      <c r="C463" s="1" t="s">
        <v>19</v>
      </c>
      <c r="D463" s="1" t="s">
        <v>1012</v>
      </c>
      <c r="E463" s="1" t="str">
        <f>IFERROR(__xludf.DUMMYFUNCTION("""COMPUTED_VALUE"""),"Pork, Turkey, Alliums, Dried Herbs &amp; Spices, Spicy")</f>
        <v>Pork, Turkey, Alliums, Dried Herbs &amp; Spices, Spicy</v>
      </c>
      <c r="F463" s="1" t="s">
        <v>1013</v>
      </c>
      <c r="J463" s="1" t="s">
        <v>126</v>
      </c>
      <c r="L463" s="1" t="s">
        <v>252</v>
      </c>
    </row>
    <row r="464" ht="15.75" customHeight="1">
      <c r="A464" s="1" t="s">
        <v>1014</v>
      </c>
      <c r="C464" s="1" t="s">
        <v>19</v>
      </c>
      <c r="D464" s="1" t="s">
        <v>1015</v>
      </c>
      <c r="E464" s="1" t="str">
        <f>IFERROR(__xludf.DUMMYFUNCTION("""COMPUTED_VALUE"""),"Beef")</f>
        <v>Beef</v>
      </c>
      <c r="F464" s="1" t="s">
        <v>91</v>
      </c>
    </row>
    <row r="465" ht="15.75" customHeight="1">
      <c r="A465" s="1" t="s">
        <v>1016</v>
      </c>
      <c r="C465" s="1" t="s">
        <v>19</v>
      </c>
      <c r="D465" s="1" t="s">
        <v>1017</v>
      </c>
      <c r="E465" s="1" t="str">
        <f>IFERROR(__xludf.DUMMYFUNCTION("""COMPUTED_VALUE"""),"Beef")</f>
        <v>Beef</v>
      </c>
      <c r="F465" s="1" t="s">
        <v>91</v>
      </c>
    </row>
    <row r="466" ht="15.75" customHeight="1">
      <c r="A466" s="1" t="s">
        <v>1018</v>
      </c>
      <c r="C466" s="1" t="s">
        <v>19</v>
      </c>
      <c r="D466" s="1" t="s">
        <v>1019</v>
      </c>
      <c r="E466" s="1" t="str">
        <f>IFERROR(__xludf.DUMMYFUNCTION("""COMPUTED_VALUE"""),"Beef")</f>
        <v>Beef</v>
      </c>
      <c r="F466" s="1" t="s">
        <v>91</v>
      </c>
    </row>
    <row r="467" ht="15.75" customHeight="1">
      <c r="A467" s="1" t="s">
        <v>1020</v>
      </c>
      <c r="C467" s="1" t="s">
        <v>19</v>
      </c>
      <c r="D467" s="1" t="s">
        <v>1021</v>
      </c>
      <c r="E467" s="1" t="str">
        <f>IFERROR(__xludf.DUMMYFUNCTION("""COMPUTED_VALUE"""),"Beef")</f>
        <v>Beef</v>
      </c>
      <c r="F467" s="1" t="s">
        <v>91</v>
      </c>
    </row>
    <row r="468" ht="15.75" customHeight="1">
      <c r="A468" s="1" t="s">
        <v>1022</v>
      </c>
      <c r="C468" s="1" t="s">
        <v>19</v>
      </c>
      <c r="D468" s="1" t="s">
        <v>1023</v>
      </c>
      <c r="E468" s="1" t="str">
        <f>IFERROR(__xludf.DUMMYFUNCTION("""COMPUTED_VALUE"""),"Beef")</f>
        <v>Beef</v>
      </c>
      <c r="F468" s="1" t="s">
        <v>91</v>
      </c>
    </row>
    <row r="469" ht="15.75" customHeight="1">
      <c r="A469" s="1" t="s">
        <v>1024</v>
      </c>
      <c r="C469" s="1" t="s">
        <v>19</v>
      </c>
      <c r="D469" s="1" t="s">
        <v>1025</v>
      </c>
      <c r="E469" s="1" t="str">
        <f>IFERROR(__xludf.DUMMYFUNCTION("""COMPUTED_VALUE"""),"Beef")</f>
        <v>Beef</v>
      </c>
      <c r="F469" s="1" t="s">
        <v>91</v>
      </c>
    </row>
    <row r="470" ht="15.75" customHeight="1">
      <c r="A470" s="1" t="s">
        <v>1026</v>
      </c>
      <c r="C470" s="1" t="s">
        <v>19</v>
      </c>
      <c r="D470" s="1" t="s">
        <v>1027</v>
      </c>
      <c r="E470" s="1" t="str">
        <f>IFERROR(__xludf.DUMMYFUNCTION("""COMPUTED_VALUE"""),"Beef")</f>
        <v>Beef</v>
      </c>
      <c r="F470" s="1" t="s">
        <v>91</v>
      </c>
    </row>
    <row r="471" ht="15.75" customHeight="1">
      <c r="A471" s="1" t="s">
        <v>1028</v>
      </c>
      <c r="C471" s="1" t="s">
        <v>19</v>
      </c>
      <c r="D471" s="1" t="s">
        <v>1029</v>
      </c>
      <c r="E471" s="1" t="str">
        <f>IFERROR(__xludf.DUMMYFUNCTION("""COMPUTED_VALUE"""),"Beef")</f>
        <v>Beef</v>
      </c>
      <c r="F471" s="1" t="s">
        <v>91</v>
      </c>
    </row>
    <row r="472" ht="15.75" customHeight="1">
      <c r="A472" s="1" t="s">
        <v>1030</v>
      </c>
      <c r="C472" s="1" t="s">
        <v>19</v>
      </c>
      <c r="D472" s="1" t="s">
        <v>1031</v>
      </c>
      <c r="E472" s="1" t="str">
        <f>IFERROR(__xludf.DUMMYFUNCTION("""COMPUTED_VALUE"""),"Beef")</f>
        <v>Beef</v>
      </c>
      <c r="F472" s="1" t="s">
        <v>91</v>
      </c>
    </row>
    <row r="473" ht="15.75" customHeight="1">
      <c r="A473" s="1" t="s">
        <v>1032</v>
      </c>
      <c r="C473" s="1" t="s">
        <v>14</v>
      </c>
      <c r="D473" s="1" t="s">
        <v>1033</v>
      </c>
      <c r="E473" s="1" t="str">
        <f>IFERROR(__xludf.DUMMYFUNCTION("""COMPUTED_VALUE"""),"Beef")</f>
        <v>Beef</v>
      </c>
      <c r="F473" s="1" t="s">
        <v>91</v>
      </c>
    </row>
    <row r="474" ht="15.75" customHeight="1">
      <c r="A474" s="1" t="s">
        <v>1034</v>
      </c>
      <c r="C474" s="1" t="s">
        <v>19</v>
      </c>
      <c r="D474" s="1" t="s">
        <v>1035</v>
      </c>
      <c r="E474" s="1" t="str">
        <f>IFERROR(__xludf.DUMMYFUNCTION("""COMPUTED_VALUE"""),"Beef")</f>
        <v>Beef</v>
      </c>
      <c r="F474" s="1" t="s">
        <v>91</v>
      </c>
    </row>
    <row r="475" ht="15.75" customHeight="1">
      <c r="A475" s="1" t="s">
        <v>1036</v>
      </c>
      <c r="C475" s="1" t="s">
        <v>19</v>
      </c>
      <c r="D475" s="1" t="s">
        <v>1037</v>
      </c>
      <c r="E475" s="1" t="str">
        <f>IFERROR(__xludf.DUMMYFUNCTION("""COMPUTED_VALUE"""),"Beef")</f>
        <v>Beef</v>
      </c>
      <c r="F475" s="1" t="s">
        <v>91</v>
      </c>
    </row>
    <row r="476" ht="15.75" customHeight="1">
      <c r="A476" s="1" t="s">
        <v>1038</v>
      </c>
      <c r="C476" s="1" t="s">
        <v>19</v>
      </c>
      <c r="D476" s="1" t="s">
        <v>1039</v>
      </c>
      <c r="E476" s="1" t="str">
        <f>IFERROR(__xludf.DUMMYFUNCTION("""COMPUTED_VALUE"""),"Beef, Potatoes, Soy, Alliums, Mushrooms, Dried Herbs &amp; Spices, Spicy, Sweeteners")</f>
        <v>Beef, Potatoes, Soy, Alliums, Mushrooms, Dried Herbs &amp; Spices, Spicy, Sweeteners</v>
      </c>
      <c r="F476" s="1" t="s">
        <v>91</v>
      </c>
      <c r="H476" s="1" t="s">
        <v>222</v>
      </c>
      <c r="I476" s="1" t="s">
        <v>40</v>
      </c>
      <c r="J476" s="1" t="s">
        <v>1040</v>
      </c>
      <c r="L476" s="1" t="s">
        <v>252</v>
      </c>
      <c r="M476" s="1" t="s">
        <v>44</v>
      </c>
    </row>
    <row r="477" ht="15.75" customHeight="1">
      <c r="A477" s="1" t="s">
        <v>1041</v>
      </c>
      <c r="C477" s="1" t="s">
        <v>19</v>
      </c>
      <c r="D477" s="1" t="s">
        <v>1042</v>
      </c>
      <c r="E477" s="1" t="str">
        <f>IFERROR(__xludf.DUMMYFUNCTION("""COMPUTED_VALUE"""),"Beef, Alliums, Dried Herbs &amp; Spices, Fresh Herbs")</f>
        <v>Beef, Alliums, Dried Herbs &amp; Spices, Fresh Herbs</v>
      </c>
      <c r="F477" s="1" t="s">
        <v>91</v>
      </c>
      <c r="J477" s="1" t="s">
        <v>126</v>
      </c>
      <c r="L477" s="1" t="s">
        <v>811</v>
      </c>
    </row>
    <row r="478" ht="15.75" customHeight="1">
      <c r="A478" s="1" t="s">
        <v>1043</v>
      </c>
      <c r="C478" s="1" t="s">
        <v>19</v>
      </c>
      <c r="D478" s="1" t="s">
        <v>1044</v>
      </c>
      <c r="E478" s="1" t="str">
        <f>IFERROR(__xludf.DUMMYFUNCTION("""COMPUTED_VALUE"""),"Beef, Alliums, Dried Herbs &amp; Spices, Spicy")</f>
        <v>Beef, Alliums, Dried Herbs &amp; Spices, Spicy</v>
      </c>
      <c r="F478" s="1" t="s">
        <v>91</v>
      </c>
      <c r="J478" s="1" t="s">
        <v>126</v>
      </c>
      <c r="L478" s="1" t="s">
        <v>252</v>
      </c>
    </row>
    <row r="479" ht="15.75" customHeight="1">
      <c r="A479" s="1" t="s">
        <v>1045</v>
      </c>
      <c r="C479" s="1" t="s">
        <v>19</v>
      </c>
      <c r="D479" s="1" t="s">
        <v>1046</v>
      </c>
      <c r="E479" s="1" t="str">
        <f>IFERROR(__xludf.DUMMYFUNCTION("""COMPUTED_VALUE"""),"Beef, Wheat, Alliums, Dried Herbs &amp; Spices, Spicy, Sweeteners")</f>
        <v>Beef, Wheat, Alliums, Dried Herbs &amp; Spices, Spicy, Sweeteners</v>
      </c>
      <c r="F479" s="1" t="s">
        <v>91</v>
      </c>
      <c r="H479" s="1" t="s">
        <v>31</v>
      </c>
      <c r="J479" s="1" t="s">
        <v>126</v>
      </c>
      <c r="L479" s="1" t="s">
        <v>252</v>
      </c>
      <c r="M479" s="1" t="s">
        <v>44</v>
      </c>
    </row>
    <row r="480" ht="15.75" customHeight="1">
      <c r="A480" s="1" t="s">
        <v>1047</v>
      </c>
      <c r="C480" s="1" t="s">
        <v>19</v>
      </c>
      <c r="D480" s="1" t="s">
        <v>1048</v>
      </c>
      <c r="E480" s="1" t="str">
        <f>IFERROR(__xludf.DUMMYFUNCTION("""COMPUTED_VALUE"""),"Beef")</f>
        <v>Beef</v>
      </c>
      <c r="F480" s="1" t="s">
        <v>91</v>
      </c>
    </row>
    <row r="481" ht="15.75" customHeight="1">
      <c r="A481" s="1" t="s">
        <v>1049</v>
      </c>
      <c r="C481" s="1" t="s">
        <v>19</v>
      </c>
      <c r="D481" s="1" t="s">
        <v>1050</v>
      </c>
      <c r="E481" s="1" t="str">
        <f>IFERROR(__xludf.DUMMYFUNCTION("""COMPUTED_VALUE"""),"Beef")</f>
        <v>Beef</v>
      </c>
      <c r="F481" s="1" t="s">
        <v>91</v>
      </c>
    </row>
    <row r="482" ht="15.75" customHeight="1">
      <c r="A482" s="1" t="s">
        <v>1051</v>
      </c>
      <c r="C482" s="1" t="s">
        <v>19</v>
      </c>
      <c r="D482" s="1" t="s">
        <v>1052</v>
      </c>
      <c r="E482" s="1" t="str">
        <f>IFERROR(__xludf.DUMMYFUNCTION("""COMPUTED_VALUE"""),"Beef")</f>
        <v>Beef</v>
      </c>
      <c r="F482" s="1" t="s">
        <v>91</v>
      </c>
    </row>
    <row r="483" ht="15.75" customHeight="1">
      <c r="A483" s="1" t="s">
        <v>1053</v>
      </c>
      <c r="C483" s="1" t="s">
        <v>19</v>
      </c>
      <c r="D483" s="1" t="s">
        <v>1054</v>
      </c>
      <c r="E483" s="1" t="str">
        <f>IFERROR(__xludf.DUMMYFUNCTION("""COMPUTED_VALUE"""),"Beef")</f>
        <v>Beef</v>
      </c>
      <c r="F483" s="1" t="s">
        <v>91</v>
      </c>
    </row>
    <row r="484" ht="15.75" customHeight="1">
      <c r="A484" s="1" t="s">
        <v>1055</v>
      </c>
      <c r="C484" s="1" t="s">
        <v>19</v>
      </c>
      <c r="D484" s="1" t="s">
        <v>1056</v>
      </c>
      <c r="E484" s="1" t="str">
        <f>IFERROR(__xludf.DUMMYFUNCTION("""COMPUTED_VALUE"""),"Beef")</f>
        <v>Beef</v>
      </c>
      <c r="F484" s="1" t="s">
        <v>91</v>
      </c>
    </row>
    <row r="485" ht="15.75" customHeight="1">
      <c r="A485" s="1" t="s">
        <v>1057</v>
      </c>
      <c r="C485" s="1" t="s">
        <v>19</v>
      </c>
      <c r="D485" s="1" t="s">
        <v>1058</v>
      </c>
      <c r="E485" s="1" t="str">
        <f>IFERROR(__xludf.DUMMYFUNCTION("""COMPUTED_VALUE"""),"Beef, Alliums, Dried Herbs &amp; Spices, Spicy, Sweeteners")</f>
        <v>Beef, Alliums, Dried Herbs &amp; Spices, Spicy, Sweeteners</v>
      </c>
      <c r="F485" s="1" t="s">
        <v>91</v>
      </c>
      <c r="J485" s="1" t="s">
        <v>126</v>
      </c>
      <c r="L485" s="1" t="s">
        <v>252</v>
      </c>
      <c r="M485" s="1" t="s">
        <v>44</v>
      </c>
    </row>
    <row r="486" ht="15.75" customHeight="1">
      <c r="A486" s="1" t="s">
        <v>1059</v>
      </c>
      <c r="C486" s="1" t="s">
        <v>19</v>
      </c>
      <c r="D486" s="1" t="s">
        <v>1060</v>
      </c>
      <c r="E486" s="1" t="str">
        <f>IFERROR(__xludf.DUMMYFUNCTION("""COMPUTED_VALUE"""),"Beef")</f>
        <v>Beef</v>
      </c>
      <c r="F486" s="1" t="s">
        <v>91</v>
      </c>
    </row>
    <row r="487" ht="15.75" customHeight="1">
      <c r="A487" s="1" t="s">
        <v>1061</v>
      </c>
      <c r="C487" s="1" t="s">
        <v>19</v>
      </c>
      <c r="D487" s="1" t="s">
        <v>1062</v>
      </c>
      <c r="E487" s="1" t="str">
        <f>IFERROR(__xludf.DUMMYFUNCTION("""COMPUTED_VALUE"""),"Beef")</f>
        <v>Beef</v>
      </c>
      <c r="F487" s="1" t="s">
        <v>91</v>
      </c>
    </row>
    <row r="488" ht="15.75" customHeight="1">
      <c r="A488" s="1" t="s">
        <v>1063</v>
      </c>
      <c r="C488" s="1" t="s">
        <v>19</v>
      </c>
      <c r="D488" s="1" t="s">
        <v>1064</v>
      </c>
      <c r="E488" s="1" t="str">
        <f>IFERROR(__xludf.DUMMYFUNCTION("""COMPUTED_VALUE"""),"Beef")</f>
        <v>Beef</v>
      </c>
      <c r="F488" s="1" t="s">
        <v>91</v>
      </c>
    </row>
    <row r="489" ht="15.75" customHeight="1">
      <c r="A489" s="1" t="s">
        <v>1065</v>
      </c>
      <c r="C489" s="1" t="s">
        <v>19</v>
      </c>
      <c r="D489" s="1" t="s">
        <v>1066</v>
      </c>
      <c r="E489" s="1" t="str">
        <f>IFERROR(__xludf.DUMMYFUNCTION("""COMPUTED_VALUE"""),"Beef")</f>
        <v>Beef</v>
      </c>
      <c r="F489" s="1" t="s">
        <v>91</v>
      </c>
    </row>
    <row r="490" ht="15.75" customHeight="1">
      <c r="A490" s="1" t="s">
        <v>1067</v>
      </c>
      <c r="C490" s="1" t="s">
        <v>19</v>
      </c>
      <c r="D490" s="1" t="s">
        <v>1068</v>
      </c>
      <c r="E490" s="1" t="str">
        <f>IFERROR(__xludf.DUMMYFUNCTION("""COMPUTED_VALUE"""),"Beef")</f>
        <v>Beef</v>
      </c>
      <c r="F490" s="1" t="s">
        <v>91</v>
      </c>
    </row>
    <row r="491" ht="15.75" customHeight="1">
      <c r="A491" s="1" t="s">
        <v>1069</v>
      </c>
      <c r="C491" s="1" t="s">
        <v>19</v>
      </c>
      <c r="D491" s="1" t="s">
        <v>1070</v>
      </c>
      <c r="E491" s="1" t="str">
        <f>IFERROR(__xludf.DUMMYFUNCTION("""COMPUTED_VALUE"""),"Beef")</f>
        <v>Beef</v>
      </c>
      <c r="F491" s="1" t="s">
        <v>91</v>
      </c>
    </row>
    <row r="492" ht="15.75" customHeight="1">
      <c r="A492" s="1" t="s">
        <v>1071</v>
      </c>
      <c r="C492" s="1" t="s">
        <v>19</v>
      </c>
      <c r="D492" s="1" t="s">
        <v>1072</v>
      </c>
      <c r="E492" s="1" t="str">
        <f>IFERROR(__xludf.DUMMYFUNCTION("""COMPUTED_VALUE"""),"Beef")</f>
        <v>Beef</v>
      </c>
      <c r="F492" s="1" t="s">
        <v>91</v>
      </c>
    </row>
    <row r="493" ht="15.75" customHeight="1">
      <c r="A493" s="1" t="s">
        <v>1073</v>
      </c>
      <c r="C493" s="1" t="s">
        <v>14</v>
      </c>
      <c r="D493" s="1" t="s">
        <v>1074</v>
      </c>
      <c r="E493" s="1" t="str">
        <f>IFERROR(__xludf.DUMMYFUNCTION("""COMPUTED_VALUE"""),"Beef")</f>
        <v>Beef</v>
      </c>
      <c r="F493" s="1" t="s">
        <v>91</v>
      </c>
    </row>
    <row r="494" ht="15.75" customHeight="1">
      <c r="A494" s="1" t="s">
        <v>1075</v>
      </c>
      <c r="C494" s="1" t="s">
        <v>19</v>
      </c>
      <c r="D494" s="1" t="s">
        <v>1076</v>
      </c>
      <c r="E494" s="1" t="str">
        <f>IFERROR(__xludf.DUMMYFUNCTION("""COMPUTED_VALUE"""),"Beef, Wheat, Corn, Potatoes, Beans, Nightshades, Alliums, Dried Herbs &amp; Spices, Sweeteners")</f>
        <v>Beef, Wheat, Corn, Potatoes, Beans, Nightshades, Alliums, Dried Herbs &amp; Spices, Sweeteners</v>
      </c>
      <c r="F494" s="1" t="s">
        <v>91</v>
      </c>
      <c r="H494" s="1" t="s">
        <v>1077</v>
      </c>
      <c r="I494" s="1" t="s">
        <v>175</v>
      </c>
      <c r="J494" s="1" t="s">
        <v>313</v>
      </c>
      <c r="L494" s="1" t="s">
        <v>17</v>
      </c>
      <c r="M494" s="1" t="s">
        <v>44</v>
      </c>
    </row>
    <row r="495" ht="15.75" customHeight="1">
      <c r="A495" s="1" t="s">
        <v>1078</v>
      </c>
      <c r="C495" s="1" t="s">
        <v>19</v>
      </c>
      <c r="D495" s="1" t="s">
        <v>1079</v>
      </c>
      <c r="E495" s="1" t="str">
        <f>IFERROR(__xludf.DUMMYFUNCTION("""COMPUTED_VALUE"""),"Beef, Wheat, Corn, Potatoes, Beans, Nightshades, Alliums, Dried Herbs &amp; Spices, Sweeteners")</f>
        <v>Beef, Wheat, Corn, Potatoes, Beans, Nightshades, Alliums, Dried Herbs &amp; Spices, Sweeteners</v>
      </c>
      <c r="F495" s="1" t="s">
        <v>91</v>
      </c>
      <c r="H495" s="1" t="s">
        <v>1077</v>
      </c>
      <c r="I495" s="1" t="s">
        <v>175</v>
      </c>
      <c r="J495" s="1" t="s">
        <v>313</v>
      </c>
      <c r="L495" s="1" t="s">
        <v>17</v>
      </c>
      <c r="M495" s="1" t="s">
        <v>44</v>
      </c>
    </row>
    <row r="496" ht="15.75" customHeight="1">
      <c r="A496" s="1" t="s">
        <v>1080</v>
      </c>
      <c r="C496" s="1" t="s">
        <v>19</v>
      </c>
      <c r="D496" s="1" t="s">
        <v>1081</v>
      </c>
      <c r="E496" s="1" t="str">
        <f>IFERROR(__xludf.DUMMYFUNCTION("""COMPUTED_VALUE"""),"Beef, Pork, Alliums, Dried Herbs &amp; Spices, Spicy, Sweeteners")</f>
        <v>Beef, Pork, Alliums, Dried Herbs &amp; Spices, Spicy, Sweeteners</v>
      </c>
      <c r="F496" s="1" t="s">
        <v>974</v>
      </c>
      <c r="J496" s="1" t="s">
        <v>126</v>
      </c>
      <c r="L496" s="1" t="s">
        <v>252</v>
      </c>
      <c r="M496" s="1" t="s">
        <v>44</v>
      </c>
    </row>
    <row r="497" ht="15.75" customHeight="1">
      <c r="A497" s="1" t="s">
        <v>1082</v>
      </c>
      <c r="C497" s="1" t="s">
        <v>19</v>
      </c>
      <c r="D497" s="1" t="s">
        <v>1083</v>
      </c>
      <c r="E497" s="1" t="str">
        <f>IFERROR(__xludf.DUMMYFUNCTION("""COMPUTED_VALUE"""),"Beef, Pork, Alliums, Dried Herbs &amp; Spices, Spicy, Sweeteners")</f>
        <v>Beef, Pork, Alliums, Dried Herbs &amp; Spices, Spicy, Sweeteners</v>
      </c>
      <c r="F497" s="1" t="s">
        <v>974</v>
      </c>
      <c r="J497" s="1" t="s">
        <v>126</v>
      </c>
      <c r="L497" s="1" t="s">
        <v>252</v>
      </c>
      <c r="M497" s="1" t="s">
        <v>44</v>
      </c>
    </row>
    <row r="498" ht="15.75" customHeight="1">
      <c r="A498" s="1" t="s">
        <v>1084</v>
      </c>
      <c r="C498" s="1" t="s">
        <v>19</v>
      </c>
      <c r="D498" s="1" t="s">
        <v>1085</v>
      </c>
      <c r="E498" s="1" t="str">
        <f>IFERROR(__xludf.DUMMYFUNCTION("""COMPUTED_VALUE"""),"Beef, Pork, Alliums, Dried Herbs &amp; Spices, Spicy")</f>
        <v>Beef, Pork, Alliums, Dried Herbs &amp; Spices, Spicy</v>
      </c>
      <c r="F498" s="1" t="s">
        <v>974</v>
      </c>
      <c r="J498" s="1" t="s">
        <v>126</v>
      </c>
      <c r="L498" s="1" t="s">
        <v>252</v>
      </c>
    </row>
    <row r="499" ht="15.75" customHeight="1">
      <c r="A499" s="1" t="s">
        <v>1086</v>
      </c>
      <c r="C499" s="1" t="s">
        <v>19</v>
      </c>
      <c r="D499" s="1" t="s">
        <v>1087</v>
      </c>
      <c r="E499" s="1" t="str">
        <f>IFERROR(__xludf.DUMMYFUNCTION("""COMPUTED_VALUE"""),"Beef, Pork, Alliums, Dried Herbs &amp; Spices, Spicy")</f>
        <v>Beef, Pork, Alliums, Dried Herbs &amp; Spices, Spicy</v>
      </c>
      <c r="F499" s="1" t="s">
        <v>974</v>
      </c>
      <c r="J499" s="1" t="s">
        <v>126</v>
      </c>
      <c r="L499" s="1" t="s">
        <v>252</v>
      </c>
    </row>
    <row r="500" ht="15.75" customHeight="1">
      <c r="A500" s="1" t="s">
        <v>1088</v>
      </c>
      <c r="C500" s="1" t="s">
        <v>19</v>
      </c>
      <c r="D500" s="1" t="s">
        <v>1089</v>
      </c>
      <c r="E500" s="1" t="str">
        <f>IFERROR(__xludf.DUMMYFUNCTION("""COMPUTED_VALUE"""),"Beef, Alliums, Nightshades, Dried Herbs &amp; Spices, Fresh Herbs")</f>
        <v>Beef, Alliums, Nightshades, Dried Herbs &amp; Spices, Fresh Herbs</v>
      </c>
      <c r="F500" s="1" t="s">
        <v>91</v>
      </c>
      <c r="J500" s="1" t="s">
        <v>696</v>
      </c>
      <c r="L500" s="1" t="s">
        <v>811</v>
      </c>
    </row>
    <row r="501" ht="15.75" customHeight="1">
      <c r="A501" s="1" t="s">
        <v>1090</v>
      </c>
      <c r="C501" s="1" t="s">
        <v>19</v>
      </c>
      <c r="D501" s="1" t="s">
        <v>1091</v>
      </c>
      <c r="E501" s="1" t="str">
        <f>IFERROR(__xludf.DUMMYFUNCTION("""COMPUTED_VALUE"""),"Beef")</f>
        <v>Beef</v>
      </c>
      <c r="F501" s="1" t="s">
        <v>91</v>
      </c>
    </row>
    <row r="502" ht="15.75" customHeight="1">
      <c r="E502" s="1" t="str">
        <f>IFERROR(__xludf.DUMMYFUNCTION("""COMPUTED_VALUE"""),"#N/A")</f>
        <v>#N/A</v>
      </c>
    </row>
    <row r="503" ht="15.75" customHeight="1">
      <c r="E503" s="1" t="str">
        <f>IFERROR(__xludf.DUMMYFUNCTION("""COMPUTED_VALUE"""),"#N/A")</f>
        <v>#N/A</v>
      </c>
    </row>
    <row r="504" ht="15.75" customHeight="1">
      <c r="E504" s="1" t="str">
        <f>IFERROR(__xludf.DUMMYFUNCTION("""COMPUTED_VALUE"""),"#N/A")</f>
        <v>#N/A</v>
      </c>
    </row>
    <row r="505" ht="15.75" customHeight="1">
      <c r="E505" s="1" t="str">
        <f>IFERROR(__xludf.DUMMYFUNCTION("""COMPUTED_VALUE"""),"#N/A")</f>
        <v>#N/A</v>
      </c>
    </row>
    <row r="506" ht="15.75" customHeight="1">
      <c r="E506" s="1" t="str">
        <f>IFERROR(__xludf.DUMMYFUNCTION("""COMPUTED_VALUE"""),"#N/A")</f>
        <v>#N/A</v>
      </c>
    </row>
    <row r="507" ht="15.75" customHeight="1">
      <c r="E507" s="1" t="str">
        <f>IFERROR(__xludf.DUMMYFUNCTION("""COMPUTED_VALUE"""),"#N/A")</f>
        <v>#N/A</v>
      </c>
    </row>
    <row r="508" ht="15.75" customHeight="1">
      <c r="E508" s="1" t="str">
        <f>IFERROR(__xludf.DUMMYFUNCTION("""COMPUTED_VALUE"""),"#N/A")</f>
        <v>#N/A</v>
      </c>
    </row>
    <row r="509" ht="15.75" customHeight="1">
      <c r="E509" s="1" t="str">
        <f>IFERROR(__xludf.DUMMYFUNCTION("""COMPUTED_VALUE"""),"#N/A")</f>
        <v>#N/A</v>
      </c>
    </row>
    <row r="510" ht="15.75" customHeight="1">
      <c r="E510" s="1" t="str">
        <f>IFERROR(__xludf.DUMMYFUNCTION("""COMPUTED_VALUE"""),"#N/A")</f>
        <v>#N/A</v>
      </c>
    </row>
    <row r="511" ht="15.75" customHeight="1">
      <c r="E511" s="1" t="str">
        <f>IFERROR(__xludf.DUMMYFUNCTION("""COMPUTED_VALUE"""),"#N/A")</f>
        <v>#N/A</v>
      </c>
    </row>
    <row r="512" ht="15.75" customHeight="1">
      <c r="E512" s="1" t="str">
        <f>IFERROR(__xludf.DUMMYFUNCTION("""COMPUTED_VALUE"""),"#N/A")</f>
        <v>#N/A</v>
      </c>
    </row>
    <row r="513" ht="15.75" customHeight="1">
      <c r="E513" s="1" t="str">
        <f>IFERROR(__xludf.DUMMYFUNCTION("""COMPUTED_VALUE"""),"#N/A")</f>
        <v>#N/A</v>
      </c>
    </row>
    <row r="514" ht="15.75" customHeight="1">
      <c r="E514" s="1" t="str">
        <f>IFERROR(__xludf.DUMMYFUNCTION("""COMPUTED_VALUE"""),"#N/A")</f>
        <v>#N/A</v>
      </c>
    </row>
    <row r="515" ht="15.75" customHeight="1">
      <c r="E515" s="1" t="str">
        <f>IFERROR(__xludf.DUMMYFUNCTION("""COMPUTED_VALUE"""),"#N/A")</f>
        <v>#N/A</v>
      </c>
    </row>
    <row r="516" ht="15.75" customHeight="1">
      <c r="E516" s="1" t="str">
        <f>IFERROR(__xludf.DUMMYFUNCTION("""COMPUTED_VALUE"""),"#N/A")</f>
        <v>#N/A</v>
      </c>
    </row>
    <row r="517" ht="15.75" customHeight="1">
      <c r="E517" s="1" t="str">
        <f>IFERROR(__xludf.DUMMYFUNCTION("""COMPUTED_VALUE"""),"#N/A")</f>
        <v>#N/A</v>
      </c>
    </row>
    <row r="518" ht="15.75" customHeight="1">
      <c r="E518" s="1" t="str">
        <f>IFERROR(__xludf.DUMMYFUNCTION("""COMPUTED_VALUE"""),"#N/A")</f>
        <v>#N/A</v>
      </c>
    </row>
    <row r="519" ht="15.75" customHeight="1">
      <c r="E519" s="1" t="str">
        <f>IFERROR(__xludf.DUMMYFUNCTION("""COMPUTED_VALUE"""),"#N/A")</f>
        <v>#N/A</v>
      </c>
    </row>
    <row r="520" ht="15.75" customHeight="1">
      <c r="E520" s="1" t="str">
        <f>IFERROR(__xludf.DUMMYFUNCTION("""COMPUTED_VALUE"""),"#N/A")</f>
        <v>#N/A</v>
      </c>
    </row>
    <row r="521" ht="15.75" customHeight="1">
      <c r="E521" s="1" t="str">
        <f>IFERROR(__xludf.DUMMYFUNCTION("""COMPUTED_VALUE"""),"#N/A")</f>
        <v>#N/A</v>
      </c>
    </row>
    <row r="522" ht="15.75" customHeight="1">
      <c r="E522" s="1" t="str">
        <f>IFERROR(__xludf.DUMMYFUNCTION("""COMPUTED_VALUE"""),"#N/A")</f>
        <v>#N/A</v>
      </c>
    </row>
    <row r="523" ht="15.75" customHeight="1">
      <c r="E523" s="1" t="str">
        <f>IFERROR(__xludf.DUMMYFUNCTION("""COMPUTED_VALUE"""),"#N/A")</f>
        <v>#N/A</v>
      </c>
    </row>
    <row r="524" ht="15.75" customHeight="1">
      <c r="E524" s="1" t="str">
        <f>IFERROR(__xludf.DUMMYFUNCTION("""COMPUTED_VALUE"""),"#N/A")</f>
        <v>#N/A</v>
      </c>
    </row>
    <row r="525" ht="15.75" customHeight="1">
      <c r="E525" s="1" t="str">
        <f>IFERROR(__xludf.DUMMYFUNCTION("""COMPUTED_VALUE"""),"#N/A")</f>
        <v>#N/A</v>
      </c>
    </row>
    <row r="526" ht="15.75" customHeight="1">
      <c r="E526" s="1" t="str">
        <f>IFERROR(__xludf.DUMMYFUNCTION("""COMPUTED_VALUE"""),"#N/A")</f>
        <v>#N/A</v>
      </c>
    </row>
    <row r="527" ht="15.75" customHeight="1">
      <c r="E527" s="1" t="str">
        <f>IFERROR(__xludf.DUMMYFUNCTION("""COMPUTED_VALUE"""),"#N/A")</f>
        <v>#N/A</v>
      </c>
    </row>
    <row r="528" ht="15.75" customHeight="1">
      <c r="E528" s="1" t="str">
        <f>IFERROR(__xludf.DUMMYFUNCTION("""COMPUTED_VALUE"""),"#N/A")</f>
        <v>#N/A</v>
      </c>
    </row>
    <row r="529" ht="15.75" customHeight="1">
      <c r="E529" s="1" t="str">
        <f>IFERROR(__xludf.DUMMYFUNCTION("""COMPUTED_VALUE"""),"#N/A")</f>
        <v>#N/A</v>
      </c>
    </row>
    <row r="530" ht="15.75" customHeight="1">
      <c r="E530" s="1" t="str">
        <f>IFERROR(__xludf.DUMMYFUNCTION("""COMPUTED_VALUE"""),"#N/A")</f>
        <v>#N/A</v>
      </c>
    </row>
    <row r="531" ht="15.75" customHeight="1">
      <c r="E531" s="1" t="str">
        <f>IFERROR(__xludf.DUMMYFUNCTION("""COMPUTED_VALUE"""),"#N/A")</f>
        <v>#N/A</v>
      </c>
    </row>
    <row r="532" ht="15.75" customHeight="1">
      <c r="E532" s="1" t="str">
        <f>IFERROR(__xludf.DUMMYFUNCTION("""COMPUTED_VALUE"""),"#N/A")</f>
        <v>#N/A</v>
      </c>
    </row>
    <row r="533" ht="15.75" customHeight="1">
      <c r="E533" s="1" t="str">
        <f>IFERROR(__xludf.DUMMYFUNCTION("""COMPUTED_VALUE"""),"#N/A")</f>
        <v>#N/A</v>
      </c>
    </row>
    <row r="534" ht="15.75" customHeight="1">
      <c r="E534" s="1" t="str">
        <f>IFERROR(__xludf.DUMMYFUNCTION("""COMPUTED_VALUE"""),"#N/A")</f>
        <v>#N/A</v>
      </c>
    </row>
    <row r="535" ht="15.75" customHeight="1">
      <c r="E535" s="1" t="str">
        <f>IFERROR(__xludf.DUMMYFUNCTION("""COMPUTED_VALUE"""),"#N/A")</f>
        <v>#N/A</v>
      </c>
    </row>
    <row r="536" ht="15.75" customHeight="1">
      <c r="E536" s="1" t="str">
        <f>IFERROR(__xludf.DUMMYFUNCTION("""COMPUTED_VALUE"""),"#N/A")</f>
        <v>#N/A</v>
      </c>
    </row>
    <row r="537" ht="15.75" customHeight="1">
      <c r="E537" s="1" t="str">
        <f>IFERROR(__xludf.DUMMYFUNCTION("""COMPUTED_VALUE"""),"#N/A")</f>
        <v>#N/A</v>
      </c>
    </row>
    <row r="538" ht="15.75" customHeight="1">
      <c r="E538" s="1" t="str">
        <f>IFERROR(__xludf.DUMMYFUNCTION("""COMPUTED_VALUE"""),"#N/A")</f>
        <v>#N/A</v>
      </c>
    </row>
    <row r="539" ht="15.75" customHeight="1">
      <c r="E539" s="1" t="str">
        <f>IFERROR(__xludf.DUMMYFUNCTION("""COMPUTED_VALUE"""),"#N/A")</f>
        <v>#N/A</v>
      </c>
    </row>
    <row r="540" ht="15.75" customHeight="1">
      <c r="E540" s="1" t="str">
        <f>IFERROR(__xludf.DUMMYFUNCTION("""COMPUTED_VALUE"""),"#N/A")</f>
        <v>#N/A</v>
      </c>
    </row>
    <row r="541" ht="15.75" customHeight="1">
      <c r="E541" s="1" t="str">
        <f>IFERROR(__xludf.DUMMYFUNCTION("""COMPUTED_VALUE"""),"#N/A")</f>
        <v>#N/A</v>
      </c>
    </row>
    <row r="542" ht="15.75" customHeight="1">
      <c r="E542" s="1" t="str">
        <f>IFERROR(__xludf.DUMMYFUNCTION("""COMPUTED_VALUE"""),"#N/A")</f>
        <v>#N/A</v>
      </c>
    </row>
    <row r="543" ht="15.75" customHeight="1">
      <c r="E543" s="1" t="str">
        <f>IFERROR(__xludf.DUMMYFUNCTION("""COMPUTED_VALUE"""),"#N/A")</f>
        <v>#N/A</v>
      </c>
    </row>
    <row r="544" ht="15.75" customHeight="1">
      <c r="E544" s="1" t="str">
        <f>IFERROR(__xludf.DUMMYFUNCTION("""COMPUTED_VALUE"""),"#N/A")</f>
        <v>#N/A</v>
      </c>
    </row>
    <row r="545" ht="15.75" customHeight="1">
      <c r="E545" s="1" t="str">
        <f>IFERROR(__xludf.DUMMYFUNCTION("""COMPUTED_VALUE"""),"#N/A")</f>
        <v>#N/A</v>
      </c>
    </row>
    <row r="546" ht="15.75" customHeight="1">
      <c r="E546" s="1" t="str">
        <f>IFERROR(__xludf.DUMMYFUNCTION("""COMPUTED_VALUE"""),"#N/A")</f>
        <v>#N/A</v>
      </c>
    </row>
    <row r="547" ht="15.75" customHeight="1">
      <c r="E547" s="1" t="str">
        <f>IFERROR(__xludf.DUMMYFUNCTION("""COMPUTED_VALUE"""),"#N/A")</f>
        <v>#N/A</v>
      </c>
    </row>
    <row r="548" ht="15.75" customHeight="1">
      <c r="E548" s="1" t="str">
        <f>IFERROR(__xludf.DUMMYFUNCTION("""COMPUTED_VALUE"""),"#N/A")</f>
        <v>#N/A</v>
      </c>
    </row>
    <row r="549" ht="15.75" customHeight="1">
      <c r="E549" s="1" t="str">
        <f>IFERROR(__xludf.DUMMYFUNCTION("""COMPUTED_VALUE"""),"#N/A")</f>
        <v>#N/A</v>
      </c>
    </row>
    <row r="550" ht="15.75" customHeight="1">
      <c r="E550" s="1" t="str">
        <f>IFERROR(__xludf.DUMMYFUNCTION("""COMPUTED_VALUE"""),"#N/A")</f>
        <v>#N/A</v>
      </c>
    </row>
    <row r="551" ht="15.75" customHeight="1">
      <c r="E551" s="1" t="str">
        <f>IFERROR(__xludf.DUMMYFUNCTION("""COMPUTED_VALUE"""),"#N/A")</f>
        <v>#N/A</v>
      </c>
    </row>
    <row r="552" ht="15.75" customHeight="1">
      <c r="E552" s="1" t="str">
        <f>IFERROR(__xludf.DUMMYFUNCTION("""COMPUTED_VALUE"""),"#N/A")</f>
        <v>#N/A</v>
      </c>
    </row>
    <row r="553" ht="15.75" customHeight="1">
      <c r="E553" s="1" t="str">
        <f>IFERROR(__xludf.DUMMYFUNCTION("""COMPUTED_VALUE"""),"#N/A")</f>
        <v>#N/A</v>
      </c>
    </row>
    <row r="554" ht="15.75" customHeight="1">
      <c r="E554" s="1" t="str">
        <f>IFERROR(__xludf.DUMMYFUNCTION("""COMPUTED_VALUE"""),"#N/A")</f>
        <v>#N/A</v>
      </c>
    </row>
    <row r="555" ht="15.75" customHeight="1">
      <c r="E555" s="1" t="str">
        <f>IFERROR(__xludf.DUMMYFUNCTION("""COMPUTED_VALUE"""),"#N/A")</f>
        <v>#N/A</v>
      </c>
    </row>
    <row r="556" ht="15.75" customHeight="1">
      <c r="E556" s="1" t="str">
        <f>IFERROR(__xludf.DUMMYFUNCTION("""COMPUTED_VALUE"""),"#N/A")</f>
        <v>#N/A</v>
      </c>
    </row>
    <row r="557" ht="15.75" customHeight="1">
      <c r="E557" s="1" t="str">
        <f>IFERROR(__xludf.DUMMYFUNCTION("""COMPUTED_VALUE"""),"#N/A")</f>
        <v>#N/A</v>
      </c>
    </row>
    <row r="558" ht="15.75" customHeight="1">
      <c r="E558" s="1" t="str">
        <f>IFERROR(__xludf.DUMMYFUNCTION("""COMPUTED_VALUE"""),"#N/A")</f>
        <v>#N/A</v>
      </c>
    </row>
    <row r="559" ht="15.75" customHeight="1">
      <c r="E559" s="1" t="str">
        <f>IFERROR(__xludf.DUMMYFUNCTION("""COMPUTED_VALUE"""),"#N/A")</f>
        <v>#N/A</v>
      </c>
    </row>
    <row r="560" ht="15.75" customHeight="1">
      <c r="E560" s="1" t="str">
        <f>IFERROR(__xludf.DUMMYFUNCTION("""COMPUTED_VALUE"""),"#N/A")</f>
        <v>#N/A</v>
      </c>
    </row>
    <row r="561" ht="15.75" customHeight="1">
      <c r="E561" s="1" t="str">
        <f>IFERROR(__xludf.DUMMYFUNCTION("""COMPUTED_VALUE"""),"#N/A")</f>
        <v>#N/A</v>
      </c>
    </row>
    <row r="562" ht="15.75" customHeight="1">
      <c r="E562" s="1" t="str">
        <f>IFERROR(__xludf.DUMMYFUNCTION("""COMPUTED_VALUE"""),"#N/A")</f>
        <v>#N/A</v>
      </c>
    </row>
    <row r="563" ht="15.75" customHeight="1">
      <c r="E563" s="1" t="str">
        <f>IFERROR(__xludf.DUMMYFUNCTION("""COMPUTED_VALUE"""),"#N/A")</f>
        <v>#N/A</v>
      </c>
    </row>
    <row r="564" ht="15.75" customHeight="1">
      <c r="E564" s="1" t="str">
        <f>IFERROR(__xludf.DUMMYFUNCTION("""COMPUTED_VALUE"""),"#N/A")</f>
        <v>#N/A</v>
      </c>
    </row>
    <row r="565" ht="15.75" customHeight="1">
      <c r="E565" s="1" t="str">
        <f>IFERROR(__xludf.DUMMYFUNCTION("""COMPUTED_VALUE"""),"#N/A")</f>
        <v>#N/A</v>
      </c>
    </row>
    <row r="566" ht="15.75" customHeight="1">
      <c r="E566" s="1" t="str">
        <f>IFERROR(__xludf.DUMMYFUNCTION("""COMPUTED_VALUE"""),"#N/A")</f>
        <v>#N/A</v>
      </c>
    </row>
    <row r="567" ht="15.75" customHeight="1">
      <c r="E567" s="1" t="str">
        <f>IFERROR(__xludf.DUMMYFUNCTION("""COMPUTED_VALUE"""),"#N/A")</f>
        <v>#N/A</v>
      </c>
    </row>
    <row r="568" ht="15.75" customHeight="1">
      <c r="E568" s="1" t="str">
        <f>IFERROR(__xludf.DUMMYFUNCTION("""COMPUTED_VALUE"""),"#N/A")</f>
        <v>#N/A</v>
      </c>
    </row>
    <row r="569" ht="15.75" customHeight="1">
      <c r="E569" s="1" t="str">
        <f>IFERROR(__xludf.DUMMYFUNCTION("""COMPUTED_VALUE"""),"#N/A")</f>
        <v>#N/A</v>
      </c>
    </row>
    <row r="570" ht="15.75" customHeight="1">
      <c r="E570" s="1" t="str">
        <f>IFERROR(__xludf.DUMMYFUNCTION("""COMPUTED_VALUE"""),"#N/A")</f>
        <v>#N/A</v>
      </c>
    </row>
    <row r="571" ht="15.75" customHeight="1">
      <c r="E571" s="1" t="str">
        <f>IFERROR(__xludf.DUMMYFUNCTION("""COMPUTED_VALUE"""),"#N/A")</f>
        <v>#N/A</v>
      </c>
    </row>
    <row r="572" ht="15.75" customHeight="1">
      <c r="E572" s="1" t="str">
        <f>IFERROR(__xludf.DUMMYFUNCTION("""COMPUTED_VALUE"""),"#N/A")</f>
        <v>#N/A</v>
      </c>
    </row>
    <row r="573" ht="15.75" customHeight="1">
      <c r="E573" s="1" t="str">
        <f>IFERROR(__xludf.DUMMYFUNCTION("""COMPUTED_VALUE"""),"#N/A")</f>
        <v>#N/A</v>
      </c>
    </row>
    <row r="574" ht="15.75" customHeight="1">
      <c r="E574" s="1" t="str">
        <f>IFERROR(__xludf.DUMMYFUNCTION("""COMPUTED_VALUE"""),"#N/A")</f>
        <v>#N/A</v>
      </c>
    </row>
    <row r="575" ht="15.75" customHeight="1">
      <c r="E575" s="1" t="str">
        <f>IFERROR(__xludf.DUMMYFUNCTION("""COMPUTED_VALUE"""),"#N/A")</f>
        <v>#N/A</v>
      </c>
    </row>
    <row r="576" ht="15.75" customHeight="1">
      <c r="E576" s="1" t="str">
        <f>IFERROR(__xludf.DUMMYFUNCTION("""COMPUTED_VALUE"""),"#N/A")</f>
        <v>#N/A</v>
      </c>
    </row>
    <row r="577" ht="15.75" customHeight="1">
      <c r="E577" s="1" t="str">
        <f>IFERROR(__xludf.DUMMYFUNCTION("""COMPUTED_VALUE"""),"#N/A")</f>
        <v>#N/A</v>
      </c>
    </row>
    <row r="578" ht="15.75" customHeight="1">
      <c r="E578" s="1" t="str">
        <f>IFERROR(__xludf.DUMMYFUNCTION("""COMPUTED_VALUE"""),"#N/A")</f>
        <v>#N/A</v>
      </c>
    </row>
    <row r="579" ht="15.75" customHeight="1">
      <c r="E579" s="1" t="str">
        <f>IFERROR(__xludf.DUMMYFUNCTION("""COMPUTED_VALUE"""),"#N/A")</f>
        <v>#N/A</v>
      </c>
    </row>
    <row r="580" ht="15.75" customHeight="1">
      <c r="E580" s="1" t="str">
        <f>IFERROR(__xludf.DUMMYFUNCTION("""COMPUTED_VALUE"""),"#N/A")</f>
        <v>#N/A</v>
      </c>
    </row>
    <row r="581" ht="15.75" customHeight="1">
      <c r="E581" s="1" t="str">
        <f>IFERROR(__xludf.DUMMYFUNCTION("""COMPUTED_VALUE"""),"#N/A")</f>
        <v>#N/A</v>
      </c>
    </row>
    <row r="582" ht="15.75" customHeight="1">
      <c r="E582" s="1" t="str">
        <f>IFERROR(__xludf.DUMMYFUNCTION("""COMPUTED_VALUE"""),"#N/A")</f>
        <v>#N/A</v>
      </c>
    </row>
    <row r="583" ht="15.75" customHeight="1">
      <c r="E583" s="1" t="str">
        <f>IFERROR(__xludf.DUMMYFUNCTION("""COMPUTED_VALUE"""),"#N/A")</f>
        <v>#N/A</v>
      </c>
    </row>
    <row r="584" ht="15.75" customHeight="1">
      <c r="E584" s="1" t="str">
        <f>IFERROR(__xludf.DUMMYFUNCTION("""COMPUTED_VALUE"""),"#N/A")</f>
        <v>#N/A</v>
      </c>
    </row>
    <row r="585" ht="15.75" customHeight="1">
      <c r="E585" s="1" t="str">
        <f>IFERROR(__xludf.DUMMYFUNCTION("""COMPUTED_VALUE"""),"#N/A")</f>
        <v>#N/A</v>
      </c>
    </row>
    <row r="586" ht="15.75" customHeight="1">
      <c r="E586" s="1" t="str">
        <f>IFERROR(__xludf.DUMMYFUNCTION("""COMPUTED_VALUE"""),"#N/A")</f>
        <v>#N/A</v>
      </c>
    </row>
    <row r="587" ht="15.75" customHeight="1">
      <c r="E587" s="1" t="str">
        <f>IFERROR(__xludf.DUMMYFUNCTION("""COMPUTED_VALUE"""),"#N/A")</f>
        <v>#N/A</v>
      </c>
    </row>
    <row r="588" ht="15.75" customHeight="1">
      <c r="E588" s="1" t="str">
        <f>IFERROR(__xludf.DUMMYFUNCTION("""COMPUTED_VALUE"""),"#N/A")</f>
        <v>#N/A</v>
      </c>
    </row>
    <row r="589" ht="15.75" customHeight="1">
      <c r="E589" s="1" t="str">
        <f>IFERROR(__xludf.DUMMYFUNCTION("""COMPUTED_VALUE"""),"#N/A")</f>
        <v>#N/A</v>
      </c>
    </row>
    <row r="590" ht="15.75" customHeight="1">
      <c r="E590" s="1" t="str">
        <f>IFERROR(__xludf.DUMMYFUNCTION("""COMPUTED_VALUE"""),"#N/A")</f>
        <v>#N/A</v>
      </c>
    </row>
    <row r="591" ht="15.75" customHeight="1">
      <c r="E591" s="1" t="str">
        <f>IFERROR(__xludf.DUMMYFUNCTION("""COMPUTED_VALUE"""),"#N/A")</f>
        <v>#N/A</v>
      </c>
    </row>
    <row r="592" ht="15.75" customHeight="1">
      <c r="E592" s="1" t="str">
        <f>IFERROR(__xludf.DUMMYFUNCTION("""COMPUTED_VALUE"""),"#N/A")</f>
        <v>#N/A</v>
      </c>
    </row>
    <row r="593" ht="15.75" customHeight="1">
      <c r="E593" s="1" t="str">
        <f>IFERROR(__xludf.DUMMYFUNCTION("""COMPUTED_VALUE"""),"#N/A")</f>
        <v>#N/A</v>
      </c>
    </row>
    <row r="594" ht="15.75" customHeight="1">
      <c r="E594" s="1" t="str">
        <f>IFERROR(__xludf.DUMMYFUNCTION("""COMPUTED_VALUE"""),"#N/A")</f>
        <v>#N/A</v>
      </c>
    </row>
    <row r="595" ht="15.75" customHeight="1">
      <c r="E595" s="1" t="str">
        <f>IFERROR(__xludf.DUMMYFUNCTION("""COMPUTED_VALUE"""),"#N/A")</f>
        <v>#N/A</v>
      </c>
    </row>
    <row r="596" ht="15.75" customHeight="1">
      <c r="E596" s="1" t="str">
        <f>IFERROR(__xludf.DUMMYFUNCTION("""COMPUTED_VALUE"""),"#N/A")</f>
        <v>#N/A</v>
      </c>
    </row>
    <row r="597" ht="15.75" customHeight="1">
      <c r="E597" s="1" t="str">
        <f>IFERROR(__xludf.DUMMYFUNCTION("""COMPUTED_VALUE"""),"#N/A")</f>
        <v>#N/A</v>
      </c>
    </row>
    <row r="598" ht="15.75" customHeight="1">
      <c r="E598" s="1" t="str">
        <f>IFERROR(__xludf.DUMMYFUNCTION("""COMPUTED_VALUE"""),"#N/A")</f>
        <v>#N/A</v>
      </c>
    </row>
    <row r="599" ht="15.75" customHeight="1">
      <c r="E599" s="1" t="str">
        <f>IFERROR(__xludf.DUMMYFUNCTION("""COMPUTED_VALUE"""),"#N/A")</f>
        <v>#N/A</v>
      </c>
    </row>
    <row r="600" ht="15.75" customHeight="1">
      <c r="E600" s="1" t="str">
        <f>IFERROR(__xludf.DUMMYFUNCTION("""COMPUTED_VALUE"""),"#N/A")</f>
        <v>#N/A</v>
      </c>
    </row>
    <row r="601" ht="15.75" customHeight="1">
      <c r="E601" s="1" t="str">
        <f>IFERROR(__xludf.DUMMYFUNCTION("""COMPUTED_VALUE"""),"#N/A")</f>
        <v>#N/A</v>
      </c>
    </row>
    <row r="602" ht="15.75" customHeight="1">
      <c r="E602" s="1" t="str">
        <f>IFERROR(__xludf.DUMMYFUNCTION("""COMPUTED_VALUE"""),"#N/A")</f>
        <v>#N/A</v>
      </c>
    </row>
    <row r="603" ht="15.75" customHeight="1">
      <c r="E603" s="1" t="str">
        <f>IFERROR(__xludf.DUMMYFUNCTION("""COMPUTED_VALUE"""),"#N/A")</f>
        <v>#N/A</v>
      </c>
    </row>
    <row r="604" ht="15.75" customHeight="1">
      <c r="E604" s="1" t="str">
        <f>IFERROR(__xludf.DUMMYFUNCTION("""COMPUTED_VALUE"""),"#N/A")</f>
        <v>#N/A</v>
      </c>
    </row>
    <row r="605" ht="15.75" customHeight="1">
      <c r="E605" s="1" t="str">
        <f>IFERROR(__xludf.DUMMYFUNCTION("""COMPUTED_VALUE"""),"#N/A")</f>
        <v>#N/A</v>
      </c>
    </row>
    <row r="606" ht="15.75" customHeight="1">
      <c r="E606" s="1" t="str">
        <f>IFERROR(__xludf.DUMMYFUNCTION("""COMPUTED_VALUE"""),"#N/A")</f>
        <v>#N/A</v>
      </c>
    </row>
    <row r="607" ht="15.75" customHeight="1">
      <c r="E607" s="1" t="str">
        <f>IFERROR(__xludf.DUMMYFUNCTION("""COMPUTED_VALUE"""),"#N/A")</f>
        <v>#N/A</v>
      </c>
    </row>
    <row r="608" ht="15.75" customHeight="1">
      <c r="E608" s="1" t="str">
        <f>IFERROR(__xludf.DUMMYFUNCTION("""COMPUTED_VALUE"""),"#N/A")</f>
        <v>#N/A</v>
      </c>
    </row>
    <row r="609" ht="15.75" customHeight="1">
      <c r="E609" s="1" t="str">
        <f>IFERROR(__xludf.DUMMYFUNCTION("""COMPUTED_VALUE"""),"#N/A")</f>
        <v>#N/A</v>
      </c>
    </row>
    <row r="610" ht="15.75" customHeight="1">
      <c r="E610" s="1" t="str">
        <f>IFERROR(__xludf.DUMMYFUNCTION("""COMPUTED_VALUE"""),"#N/A")</f>
        <v>#N/A</v>
      </c>
    </row>
    <row r="611" ht="15.75" customHeight="1">
      <c r="E611" s="1" t="str">
        <f>IFERROR(__xludf.DUMMYFUNCTION("""COMPUTED_VALUE"""),"#N/A")</f>
        <v>#N/A</v>
      </c>
    </row>
    <row r="612" ht="15.75" customHeight="1">
      <c r="E612" s="1" t="str">
        <f>IFERROR(__xludf.DUMMYFUNCTION("""COMPUTED_VALUE"""),"#N/A")</f>
        <v>#N/A</v>
      </c>
    </row>
    <row r="613" ht="15.75" customHeight="1">
      <c r="E613" s="1" t="str">
        <f>IFERROR(__xludf.DUMMYFUNCTION("""COMPUTED_VALUE"""),"#N/A")</f>
        <v>#N/A</v>
      </c>
    </row>
    <row r="614" ht="15.75" customHeight="1">
      <c r="E614" s="1" t="str">
        <f>IFERROR(__xludf.DUMMYFUNCTION("""COMPUTED_VALUE"""),"#N/A")</f>
        <v>#N/A</v>
      </c>
    </row>
    <row r="615" ht="15.75" customHeight="1">
      <c r="E615" s="1" t="str">
        <f>IFERROR(__xludf.DUMMYFUNCTION("""COMPUTED_VALUE"""),"#N/A")</f>
        <v>#N/A</v>
      </c>
    </row>
    <row r="616" ht="15.75" customHeight="1">
      <c r="E616" s="1" t="str">
        <f>IFERROR(__xludf.DUMMYFUNCTION("""COMPUTED_VALUE"""),"#N/A")</f>
        <v>#N/A</v>
      </c>
    </row>
    <row r="617" ht="15.75" customHeight="1">
      <c r="E617" s="1" t="str">
        <f>IFERROR(__xludf.DUMMYFUNCTION("""COMPUTED_VALUE"""),"#N/A")</f>
        <v>#N/A</v>
      </c>
    </row>
    <row r="618" ht="15.75" customHeight="1">
      <c r="E618" s="1" t="str">
        <f>IFERROR(__xludf.DUMMYFUNCTION("""COMPUTED_VALUE"""),"#N/A")</f>
        <v>#N/A</v>
      </c>
    </row>
    <row r="619" ht="15.75" customHeight="1">
      <c r="E619" s="1" t="str">
        <f>IFERROR(__xludf.DUMMYFUNCTION("""COMPUTED_VALUE"""),"#N/A")</f>
        <v>#N/A</v>
      </c>
    </row>
    <row r="620" ht="15.75" customHeight="1">
      <c r="E620" s="1" t="str">
        <f>IFERROR(__xludf.DUMMYFUNCTION("""COMPUTED_VALUE"""),"#N/A")</f>
        <v>#N/A</v>
      </c>
    </row>
    <row r="621" ht="15.75" customHeight="1">
      <c r="E621" s="1" t="str">
        <f>IFERROR(__xludf.DUMMYFUNCTION("""COMPUTED_VALUE"""),"#N/A")</f>
        <v>#N/A</v>
      </c>
    </row>
    <row r="622" ht="15.75" customHeight="1">
      <c r="E622" s="1" t="str">
        <f>IFERROR(__xludf.DUMMYFUNCTION("""COMPUTED_VALUE"""),"#N/A")</f>
        <v>#N/A</v>
      </c>
    </row>
    <row r="623" ht="15.75" customHeight="1">
      <c r="E623" s="1" t="str">
        <f>IFERROR(__xludf.DUMMYFUNCTION("""COMPUTED_VALUE"""),"#N/A")</f>
        <v>#N/A</v>
      </c>
    </row>
    <row r="624" ht="15.75" customHeight="1">
      <c r="E624" s="1" t="str">
        <f>IFERROR(__xludf.DUMMYFUNCTION("""COMPUTED_VALUE"""),"#N/A")</f>
        <v>#N/A</v>
      </c>
    </row>
    <row r="625" ht="15.75" customHeight="1">
      <c r="E625" s="1" t="str">
        <f>IFERROR(__xludf.DUMMYFUNCTION("""COMPUTED_VALUE"""),"#N/A")</f>
        <v>#N/A</v>
      </c>
    </row>
    <row r="626" ht="15.75" customHeight="1">
      <c r="E626" s="1" t="str">
        <f>IFERROR(__xludf.DUMMYFUNCTION("""COMPUTED_VALUE"""),"#N/A")</f>
        <v>#N/A</v>
      </c>
    </row>
    <row r="627" ht="15.75" customHeight="1">
      <c r="E627" s="1" t="str">
        <f>IFERROR(__xludf.DUMMYFUNCTION("""COMPUTED_VALUE"""),"#N/A")</f>
        <v>#N/A</v>
      </c>
    </row>
    <row r="628" ht="15.75" customHeight="1">
      <c r="E628" s="1" t="str">
        <f>IFERROR(__xludf.DUMMYFUNCTION("""COMPUTED_VALUE"""),"#N/A")</f>
        <v>#N/A</v>
      </c>
    </row>
    <row r="629" ht="15.75" customHeight="1">
      <c r="E629" s="1" t="str">
        <f>IFERROR(__xludf.DUMMYFUNCTION("""COMPUTED_VALUE"""),"#N/A")</f>
        <v>#N/A</v>
      </c>
    </row>
    <row r="630" ht="15.75" customHeight="1">
      <c r="E630" s="1" t="str">
        <f>IFERROR(__xludf.DUMMYFUNCTION("""COMPUTED_VALUE"""),"#N/A")</f>
        <v>#N/A</v>
      </c>
    </row>
    <row r="631" ht="15.75" customHeight="1">
      <c r="E631" s="1" t="str">
        <f>IFERROR(__xludf.DUMMYFUNCTION("""COMPUTED_VALUE"""),"#N/A")</f>
        <v>#N/A</v>
      </c>
    </row>
    <row r="632" ht="15.75" customHeight="1">
      <c r="E632" s="1" t="str">
        <f>IFERROR(__xludf.DUMMYFUNCTION("""COMPUTED_VALUE"""),"#N/A")</f>
        <v>#N/A</v>
      </c>
    </row>
    <row r="633" ht="15.75" customHeight="1">
      <c r="E633" s="1" t="str">
        <f>IFERROR(__xludf.DUMMYFUNCTION("""COMPUTED_VALUE"""),"#N/A")</f>
        <v>#N/A</v>
      </c>
    </row>
    <row r="634" ht="15.75" customHeight="1">
      <c r="E634" s="1" t="str">
        <f>IFERROR(__xludf.DUMMYFUNCTION("""COMPUTED_VALUE"""),"#N/A")</f>
        <v>#N/A</v>
      </c>
    </row>
    <row r="635" ht="15.75" customHeight="1">
      <c r="E635" s="1" t="str">
        <f>IFERROR(__xludf.DUMMYFUNCTION("""COMPUTED_VALUE"""),"#N/A")</f>
        <v>#N/A</v>
      </c>
    </row>
    <row r="636" ht="15.75" customHeight="1">
      <c r="E636" s="1" t="str">
        <f>IFERROR(__xludf.DUMMYFUNCTION("""COMPUTED_VALUE"""),"#N/A")</f>
        <v>#N/A</v>
      </c>
    </row>
    <row r="637" ht="15.75" customHeight="1">
      <c r="E637" s="1" t="str">
        <f>IFERROR(__xludf.DUMMYFUNCTION("""COMPUTED_VALUE"""),"#N/A")</f>
        <v>#N/A</v>
      </c>
    </row>
    <row r="638" ht="15.75" customHeight="1">
      <c r="E638" s="1" t="str">
        <f>IFERROR(__xludf.DUMMYFUNCTION("""COMPUTED_VALUE"""),"#N/A")</f>
        <v>#N/A</v>
      </c>
    </row>
    <row r="639" ht="15.75" customHeight="1">
      <c r="E639" s="1" t="str">
        <f>IFERROR(__xludf.DUMMYFUNCTION("""COMPUTED_VALUE"""),"#N/A")</f>
        <v>#N/A</v>
      </c>
    </row>
    <row r="640" ht="15.75" customHeight="1">
      <c r="E640" s="1" t="str">
        <f>IFERROR(__xludf.DUMMYFUNCTION("""COMPUTED_VALUE"""),"#N/A")</f>
        <v>#N/A</v>
      </c>
    </row>
    <row r="641" ht="15.75" customHeight="1">
      <c r="E641" s="1" t="str">
        <f>IFERROR(__xludf.DUMMYFUNCTION("""COMPUTED_VALUE"""),"#N/A")</f>
        <v>#N/A</v>
      </c>
    </row>
    <row r="642" ht="15.75" customHeight="1">
      <c r="E642" s="1" t="str">
        <f>IFERROR(__xludf.DUMMYFUNCTION("""COMPUTED_VALUE"""),"#N/A")</f>
        <v>#N/A</v>
      </c>
    </row>
    <row r="643" ht="15.75" customHeight="1">
      <c r="E643" s="1" t="str">
        <f>IFERROR(__xludf.DUMMYFUNCTION("""COMPUTED_VALUE"""),"#N/A")</f>
        <v>#N/A</v>
      </c>
    </row>
    <row r="644" ht="15.75" customHeight="1">
      <c r="E644" s="1" t="str">
        <f>IFERROR(__xludf.DUMMYFUNCTION("""COMPUTED_VALUE"""),"#N/A")</f>
        <v>#N/A</v>
      </c>
    </row>
    <row r="645" ht="15.75" customHeight="1">
      <c r="E645" s="1" t="str">
        <f>IFERROR(__xludf.DUMMYFUNCTION("""COMPUTED_VALUE"""),"#N/A")</f>
        <v>#N/A</v>
      </c>
    </row>
    <row r="646" ht="15.75" customHeight="1">
      <c r="E646" s="1" t="str">
        <f>IFERROR(__xludf.DUMMYFUNCTION("""COMPUTED_VALUE"""),"#N/A")</f>
        <v>#N/A</v>
      </c>
    </row>
    <row r="647" ht="15.75" customHeight="1">
      <c r="E647" s="1" t="str">
        <f>IFERROR(__xludf.DUMMYFUNCTION("""COMPUTED_VALUE"""),"#N/A")</f>
        <v>#N/A</v>
      </c>
    </row>
    <row r="648" ht="15.75" customHeight="1">
      <c r="E648" s="1" t="str">
        <f>IFERROR(__xludf.DUMMYFUNCTION("""COMPUTED_VALUE"""),"#N/A")</f>
        <v>#N/A</v>
      </c>
    </row>
    <row r="649" ht="15.75" customHeight="1">
      <c r="E649" s="1" t="str">
        <f>IFERROR(__xludf.DUMMYFUNCTION("""COMPUTED_VALUE"""),"#N/A")</f>
        <v>#N/A</v>
      </c>
    </row>
    <row r="650" ht="15.75" customHeight="1">
      <c r="E650" s="1" t="str">
        <f>IFERROR(__xludf.DUMMYFUNCTION("""COMPUTED_VALUE"""),"#N/A")</f>
        <v>#N/A</v>
      </c>
    </row>
    <row r="651" ht="15.75" customHeight="1">
      <c r="E651" s="1" t="str">
        <f>IFERROR(__xludf.DUMMYFUNCTION("""COMPUTED_VALUE"""),"#N/A")</f>
        <v>#N/A</v>
      </c>
    </row>
    <row r="652" ht="15.75" customHeight="1">
      <c r="E652" s="1" t="str">
        <f>IFERROR(__xludf.DUMMYFUNCTION("""COMPUTED_VALUE"""),"#N/A")</f>
        <v>#N/A</v>
      </c>
    </row>
    <row r="653" ht="15.75" customHeight="1">
      <c r="E653" s="1" t="str">
        <f>IFERROR(__xludf.DUMMYFUNCTION("""COMPUTED_VALUE"""),"#N/A")</f>
        <v>#N/A</v>
      </c>
    </row>
    <row r="654" ht="15.75" customHeight="1">
      <c r="E654" s="1" t="str">
        <f>IFERROR(__xludf.DUMMYFUNCTION("""COMPUTED_VALUE"""),"#N/A")</f>
        <v>#N/A</v>
      </c>
    </row>
    <row r="655" ht="15.75" customHeight="1">
      <c r="E655" s="1" t="str">
        <f>IFERROR(__xludf.DUMMYFUNCTION("""COMPUTED_VALUE"""),"#N/A")</f>
        <v>#N/A</v>
      </c>
    </row>
    <row r="656" ht="15.75" customHeight="1">
      <c r="E656" s="1" t="str">
        <f>IFERROR(__xludf.DUMMYFUNCTION("""COMPUTED_VALUE"""),"#N/A")</f>
        <v>#N/A</v>
      </c>
    </row>
    <row r="657" ht="15.75" customHeight="1">
      <c r="E657" s="1" t="str">
        <f>IFERROR(__xludf.DUMMYFUNCTION("""COMPUTED_VALUE"""),"#N/A")</f>
        <v>#N/A</v>
      </c>
    </row>
    <row r="658" ht="15.75" customHeight="1">
      <c r="E658" s="1" t="str">
        <f>IFERROR(__xludf.DUMMYFUNCTION("""COMPUTED_VALUE"""),"#N/A")</f>
        <v>#N/A</v>
      </c>
    </row>
    <row r="659" ht="15.75" customHeight="1">
      <c r="E659" s="1" t="str">
        <f>IFERROR(__xludf.DUMMYFUNCTION("""COMPUTED_VALUE"""),"#N/A")</f>
        <v>#N/A</v>
      </c>
    </row>
    <row r="660" ht="15.75" customHeight="1">
      <c r="E660" s="1" t="str">
        <f>IFERROR(__xludf.DUMMYFUNCTION("""COMPUTED_VALUE"""),"#N/A")</f>
        <v>#N/A</v>
      </c>
    </row>
    <row r="661" ht="15.75" customHeight="1">
      <c r="E661" s="1" t="str">
        <f>IFERROR(__xludf.DUMMYFUNCTION("""COMPUTED_VALUE"""),"#N/A")</f>
        <v>#N/A</v>
      </c>
    </row>
    <row r="662" ht="15.75" customHeight="1">
      <c r="E662" s="1" t="str">
        <f>IFERROR(__xludf.DUMMYFUNCTION("""COMPUTED_VALUE"""),"#N/A")</f>
        <v>#N/A</v>
      </c>
    </row>
    <row r="663" ht="15.75" customHeight="1">
      <c r="E663" s="1" t="str">
        <f>IFERROR(__xludf.DUMMYFUNCTION("""COMPUTED_VALUE"""),"#N/A")</f>
        <v>#N/A</v>
      </c>
    </row>
    <row r="664" ht="15.75" customHeight="1">
      <c r="E664" s="1" t="str">
        <f>IFERROR(__xludf.DUMMYFUNCTION("""COMPUTED_VALUE"""),"#N/A")</f>
        <v>#N/A</v>
      </c>
    </row>
    <row r="665" ht="15.75" customHeight="1">
      <c r="E665" s="1" t="str">
        <f>IFERROR(__xludf.DUMMYFUNCTION("""COMPUTED_VALUE"""),"#N/A")</f>
        <v>#N/A</v>
      </c>
    </row>
    <row r="666" ht="15.75" customHeight="1">
      <c r="E666" s="1" t="str">
        <f>IFERROR(__xludf.DUMMYFUNCTION("""COMPUTED_VALUE"""),"#N/A")</f>
        <v>#N/A</v>
      </c>
    </row>
    <row r="667" ht="15.75" customHeight="1">
      <c r="E667" s="1" t="str">
        <f>IFERROR(__xludf.DUMMYFUNCTION("""COMPUTED_VALUE"""),"#N/A")</f>
        <v>#N/A</v>
      </c>
    </row>
    <row r="668" ht="15.75" customHeight="1">
      <c r="E668" s="1" t="str">
        <f>IFERROR(__xludf.DUMMYFUNCTION("""COMPUTED_VALUE"""),"#N/A")</f>
        <v>#N/A</v>
      </c>
    </row>
    <row r="669" ht="15.75" customHeight="1">
      <c r="E669" s="1" t="str">
        <f>IFERROR(__xludf.DUMMYFUNCTION("""COMPUTED_VALUE"""),"#N/A")</f>
        <v>#N/A</v>
      </c>
    </row>
    <row r="670" ht="15.75" customHeight="1">
      <c r="E670" s="1" t="str">
        <f>IFERROR(__xludf.DUMMYFUNCTION("""COMPUTED_VALUE"""),"#N/A")</f>
        <v>#N/A</v>
      </c>
    </row>
    <row r="671" ht="15.75" customHeight="1">
      <c r="E671" s="1" t="str">
        <f>IFERROR(__xludf.DUMMYFUNCTION("""COMPUTED_VALUE"""),"#N/A")</f>
        <v>#N/A</v>
      </c>
    </row>
    <row r="672" ht="15.75" customHeight="1">
      <c r="E672" s="1" t="str">
        <f>IFERROR(__xludf.DUMMYFUNCTION("""COMPUTED_VALUE"""),"#N/A")</f>
        <v>#N/A</v>
      </c>
    </row>
    <row r="673" ht="15.75" customHeight="1">
      <c r="E673" s="1" t="str">
        <f>IFERROR(__xludf.DUMMYFUNCTION("""COMPUTED_VALUE"""),"#N/A")</f>
        <v>#N/A</v>
      </c>
    </row>
    <row r="674" ht="15.75" customHeight="1">
      <c r="E674" s="1" t="str">
        <f>IFERROR(__xludf.DUMMYFUNCTION("""COMPUTED_VALUE"""),"#N/A")</f>
        <v>#N/A</v>
      </c>
    </row>
    <row r="675" ht="15.75" customHeight="1">
      <c r="E675" s="1" t="str">
        <f>IFERROR(__xludf.DUMMYFUNCTION("""COMPUTED_VALUE"""),"#N/A")</f>
        <v>#N/A</v>
      </c>
    </row>
    <row r="676" ht="15.75" customHeight="1">
      <c r="E676" s="1" t="str">
        <f>IFERROR(__xludf.DUMMYFUNCTION("""COMPUTED_VALUE"""),"#N/A")</f>
        <v>#N/A</v>
      </c>
    </row>
    <row r="677" ht="15.75" customHeight="1">
      <c r="E677" s="1" t="str">
        <f>IFERROR(__xludf.DUMMYFUNCTION("""COMPUTED_VALUE"""),"#N/A")</f>
        <v>#N/A</v>
      </c>
    </row>
    <row r="678" ht="15.75" customHeight="1">
      <c r="E678" s="1" t="str">
        <f>IFERROR(__xludf.DUMMYFUNCTION("""COMPUTED_VALUE"""),"#N/A")</f>
        <v>#N/A</v>
      </c>
    </row>
    <row r="679" ht="15.75" customHeight="1">
      <c r="E679" s="1" t="str">
        <f>IFERROR(__xludf.DUMMYFUNCTION("""COMPUTED_VALUE"""),"#N/A")</f>
        <v>#N/A</v>
      </c>
    </row>
    <row r="680" ht="15.75" customHeight="1">
      <c r="E680" s="1" t="str">
        <f>IFERROR(__xludf.DUMMYFUNCTION("""COMPUTED_VALUE"""),"#N/A")</f>
        <v>#N/A</v>
      </c>
    </row>
    <row r="681" ht="15.75" customHeight="1">
      <c r="E681" s="1" t="str">
        <f>IFERROR(__xludf.DUMMYFUNCTION("""COMPUTED_VALUE"""),"#N/A")</f>
        <v>#N/A</v>
      </c>
    </row>
    <row r="682" ht="15.75" customHeight="1">
      <c r="E682" s="1" t="str">
        <f>IFERROR(__xludf.DUMMYFUNCTION("""COMPUTED_VALUE"""),"#N/A")</f>
        <v>#N/A</v>
      </c>
    </row>
    <row r="683" ht="15.75" customHeight="1">
      <c r="E683" s="1" t="str">
        <f>IFERROR(__xludf.DUMMYFUNCTION("""COMPUTED_VALUE"""),"#N/A")</f>
        <v>#N/A</v>
      </c>
    </row>
    <row r="684" ht="15.75" customHeight="1">
      <c r="E684" s="1" t="str">
        <f>IFERROR(__xludf.DUMMYFUNCTION("""COMPUTED_VALUE"""),"#N/A")</f>
        <v>#N/A</v>
      </c>
    </row>
    <row r="685" ht="15.75" customHeight="1">
      <c r="E685" s="1" t="str">
        <f>IFERROR(__xludf.DUMMYFUNCTION("""COMPUTED_VALUE"""),"#N/A")</f>
        <v>#N/A</v>
      </c>
    </row>
    <row r="686" ht="15.75" customHeight="1">
      <c r="E686" s="1" t="str">
        <f>IFERROR(__xludf.DUMMYFUNCTION("""COMPUTED_VALUE"""),"#N/A")</f>
        <v>#N/A</v>
      </c>
    </row>
    <row r="687" ht="15.75" customHeight="1">
      <c r="E687" s="1" t="str">
        <f>IFERROR(__xludf.DUMMYFUNCTION("""COMPUTED_VALUE"""),"#N/A")</f>
        <v>#N/A</v>
      </c>
    </row>
    <row r="688" ht="15.75" customHeight="1">
      <c r="E688" s="1" t="str">
        <f>IFERROR(__xludf.DUMMYFUNCTION("""COMPUTED_VALUE"""),"#N/A")</f>
        <v>#N/A</v>
      </c>
    </row>
    <row r="689" ht="15.75" customHeight="1">
      <c r="E689" s="1" t="str">
        <f>IFERROR(__xludf.DUMMYFUNCTION("""COMPUTED_VALUE"""),"#N/A")</f>
        <v>#N/A</v>
      </c>
    </row>
    <row r="690" ht="15.75" customHeight="1">
      <c r="E690" s="1" t="str">
        <f>IFERROR(__xludf.DUMMYFUNCTION("""COMPUTED_VALUE"""),"#N/A")</f>
        <v>#N/A</v>
      </c>
    </row>
    <row r="691" ht="15.75" customHeight="1">
      <c r="E691" s="1" t="str">
        <f>IFERROR(__xludf.DUMMYFUNCTION("""COMPUTED_VALUE"""),"#N/A")</f>
        <v>#N/A</v>
      </c>
    </row>
    <row r="692" ht="15.75" customHeight="1">
      <c r="E692" s="1" t="str">
        <f>IFERROR(__xludf.DUMMYFUNCTION("""COMPUTED_VALUE"""),"#N/A")</f>
        <v>#N/A</v>
      </c>
    </row>
    <row r="693" ht="15.75" customHeight="1">
      <c r="E693" s="1" t="str">
        <f>IFERROR(__xludf.DUMMYFUNCTION("""COMPUTED_VALUE"""),"#N/A")</f>
        <v>#N/A</v>
      </c>
    </row>
    <row r="694" ht="15.75" customHeight="1">
      <c r="E694" s="1" t="str">
        <f>IFERROR(__xludf.DUMMYFUNCTION("""COMPUTED_VALUE"""),"#N/A")</f>
        <v>#N/A</v>
      </c>
    </row>
    <row r="695" ht="15.75" customHeight="1">
      <c r="E695" s="1" t="str">
        <f>IFERROR(__xludf.DUMMYFUNCTION("""COMPUTED_VALUE"""),"#N/A")</f>
        <v>#N/A</v>
      </c>
    </row>
    <row r="696" ht="15.75" customHeight="1">
      <c r="E696" s="1" t="str">
        <f>IFERROR(__xludf.DUMMYFUNCTION("""COMPUTED_VALUE"""),"#N/A")</f>
        <v>#N/A</v>
      </c>
    </row>
    <row r="697" ht="15.75" customHeight="1">
      <c r="E697" s="1" t="str">
        <f>IFERROR(__xludf.DUMMYFUNCTION("""COMPUTED_VALUE"""),"#N/A")</f>
        <v>#N/A</v>
      </c>
    </row>
    <row r="698" ht="15.75" customHeight="1">
      <c r="E698" s="1" t="str">
        <f>IFERROR(__xludf.DUMMYFUNCTION("""COMPUTED_VALUE"""),"#N/A")</f>
        <v>#N/A</v>
      </c>
    </row>
    <row r="699" ht="15.75" customHeight="1">
      <c r="E699" s="1" t="str">
        <f>IFERROR(__xludf.DUMMYFUNCTION("""COMPUTED_VALUE"""),"#N/A")</f>
        <v>#N/A</v>
      </c>
    </row>
    <row r="700" ht="15.75" customHeight="1">
      <c r="E700" s="1" t="str">
        <f>IFERROR(__xludf.DUMMYFUNCTION("""COMPUTED_VALUE"""),"#N/A")</f>
        <v>#N/A</v>
      </c>
    </row>
    <row r="701" ht="15.75" customHeight="1">
      <c r="E701" s="1" t="str">
        <f>IFERROR(__xludf.DUMMYFUNCTION("""COMPUTED_VALUE"""),"#N/A")</f>
        <v>#N/A</v>
      </c>
    </row>
    <row r="702" ht="15.75" customHeight="1">
      <c r="E702" s="1" t="str">
        <f>IFERROR(__xludf.DUMMYFUNCTION("""COMPUTED_VALUE"""),"#N/A")</f>
        <v>#N/A</v>
      </c>
    </row>
    <row r="703" ht="15.75" customHeight="1">
      <c r="E703" s="1" t="str">
        <f>IFERROR(__xludf.DUMMYFUNCTION("""COMPUTED_VALUE"""),"#N/A")</f>
        <v>#N/A</v>
      </c>
    </row>
    <row r="704" ht="15.75" customHeight="1">
      <c r="E704" s="1" t="str">
        <f>IFERROR(__xludf.DUMMYFUNCTION("""COMPUTED_VALUE"""),"#N/A")</f>
        <v>#N/A</v>
      </c>
    </row>
    <row r="705" ht="15.75" customHeight="1">
      <c r="E705" s="1" t="str">
        <f>IFERROR(__xludf.DUMMYFUNCTION("""COMPUTED_VALUE"""),"#N/A")</f>
        <v>#N/A</v>
      </c>
    </row>
    <row r="706" ht="15.75" customHeight="1">
      <c r="E706" s="1" t="str">
        <f>IFERROR(__xludf.DUMMYFUNCTION("""COMPUTED_VALUE"""),"#N/A")</f>
        <v>#N/A</v>
      </c>
    </row>
    <row r="707" ht="15.75" customHeight="1">
      <c r="E707" s="1" t="str">
        <f>IFERROR(__xludf.DUMMYFUNCTION("""COMPUTED_VALUE"""),"#N/A")</f>
        <v>#N/A</v>
      </c>
    </row>
    <row r="708" ht="15.75" customHeight="1">
      <c r="E708" s="1" t="str">
        <f>IFERROR(__xludf.DUMMYFUNCTION("""COMPUTED_VALUE"""),"#N/A")</f>
        <v>#N/A</v>
      </c>
    </row>
    <row r="709" ht="15.75" customHeight="1">
      <c r="E709" s="1" t="str">
        <f>IFERROR(__xludf.DUMMYFUNCTION("""COMPUTED_VALUE"""),"#N/A")</f>
        <v>#N/A</v>
      </c>
    </row>
    <row r="710" ht="15.75" customHeight="1">
      <c r="E710" s="1" t="str">
        <f>IFERROR(__xludf.DUMMYFUNCTION("""COMPUTED_VALUE"""),"#N/A")</f>
        <v>#N/A</v>
      </c>
    </row>
    <row r="711" ht="15.75" customHeight="1">
      <c r="E711" s="1" t="str">
        <f>IFERROR(__xludf.DUMMYFUNCTION("""COMPUTED_VALUE"""),"#N/A")</f>
        <v>#N/A</v>
      </c>
    </row>
    <row r="712" ht="15.75" customHeight="1">
      <c r="E712" s="1" t="str">
        <f>IFERROR(__xludf.DUMMYFUNCTION("""COMPUTED_VALUE"""),"#N/A")</f>
        <v>#N/A</v>
      </c>
    </row>
    <row r="713" ht="15.75" customHeight="1">
      <c r="E713" s="1" t="str">
        <f>IFERROR(__xludf.DUMMYFUNCTION("""COMPUTED_VALUE"""),"#N/A")</f>
        <v>#N/A</v>
      </c>
    </row>
    <row r="714" ht="15.75" customHeight="1">
      <c r="E714" s="1" t="str">
        <f>IFERROR(__xludf.DUMMYFUNCTION("""COMPUTED_VALUE"""),"#N/A")</f>
        <v>#N/A</v>
      </c>
    </row>
    <row r="715" ht="15.75" customHeight="1">
      <c r="E715" s="1" t="str">
        <f>IFERROR(__xludf.DUMMYFUNCTION("""COMPUTED_VALUE"""),"#N/A")</f>
        <v>#N/A</v>
      </c>
    </row>
    <row r="716" ht="15.75" customHeight="1">
      <c r="E716" s="1" t="str">
        <f>IFERROR(__xludf.DUMMYFUNCTION("""COMPUTED_VALUE"""),"#N/A")</f>
        <v>#N/A</v>
      </c>
    </row>
    <row r="717" ht="15.75" customHeight="1">
      <c r="E717" s="1" t="str">
        <f>IFERROR(__xludf.DUMMYFUNCTION("""COMPUTED_VALUE"""),"#N/A")</f>
        <v>#N/A</v>
      </c>
    </row>
    <row r="718" ht="15.75" customHeight="1">
      <c r="E718" s="1" t="str">
        <f>IFERROR(__xludf.DUMMYFUNCTION("""COMPUTED_VALUE"""),"#N/A")</f>
        <v>#N/A</v>
      </c>
    </row>
    <row r="719" ht="15.75" customHeight="1">
      <c r="E719" s="1" t="str">
        <f>IFERROR(__xludf.DUMMYFUNCTION("""COMPUTED_VALUE"""),"#N/A")</f>
        <v>#N/A</v>
      </c>
    </row>
    <row r="720" ht="15.75" customHeight="1">
      <c r="E720" s="1" t="str">
        <f>IFERROR(__xludf.DUMMYFUNCTION("""COMPUTED_VALUE"""),"#N/A")</f>
        <v>#N/A</v>
      </c>
    </row>
    <row r="721" ht="15.75" customHeight="1">
      <c r="E721" s="1" t="str">
        <f>IFERROR(__xludf.DUMMYFUNCTION("""COMPUTED_VALUE"""),"#N/A")</f>
        <v>#N/A</v>
      </c>
    </row>
    <row r="722" ht="15.75" customHeight="1">
      <c r="E722" s="1" t="str">
        <f>IFERROR(__xludf.DUMMYFUNCTION("""COMPUTED_VALUE"""),"#N/A")</f>
        <v>#N/A</v>
      </c>
    </row>
    <row r="723" ht="15.75" customHeight="1">
      <c r="E723" s="1" t="str">
        <f>IFERROR(__xludf.DUMMYFUNCTION("""COMPUTED_VALUE"""),"#N/A")</f>
        <v>#N/A</v>
      </c>
    </row>
    <row r="724" ht="15.75" customHeight="1">
      <c r="E724" s="1" t="str">
        <f>IFERROR(__xludf.DUMMYFUNCTION("""COMPUTED_VALUE"""),"#N/A")</f>
        <v>#N/A</v>
      </c>
    </row>
    <row r="725" ht="15.75" customHeight="1">
      <c r="E725" s="1" t="str">
        <f>IFERROR(__xludf.DUMMYFUNCTION("""COMPUTED_VALUE"""),"#N/A")</f>
        <v>#N/A</v>
      </c>
    </row>
    <row r="726" ht="15.75" customHeight="1">
      <c r="E726" s="1" t="str">
        <f>IFERROR(__xludf.DUMMYFUNCTION("""COMPUTED_VALUE"""),"#N/A")</f>
        <v>#N/A</v>
      </c>
    </row>
    <row r="727" ht="15.75" customHeight="1">
      <c r="E727" s="1" t="str">
        <f>IFERROR(__xludf.DUMMYFUNCTION("""COMPUTED_VALUE"""),"#N/A")</f>
        <v>#N/A</v>
      </c>
    </row>
    <row r="728" ht="15.75" customHeight="1">
      <c r="E728" s="1" t="str">
        <f>IFERROR(__xludf.DUMMYFUNCTION("""COMPUTED_VALUE"""),"#N/A")</f>
        <v>#N/A</v>
      </c>
    </row>
    <row r="729" ht="15.75" customHeight="1">
      <c r="E729" s="1" t="str">
        <f>IFERROR(__xludf.DUMMYFUNCTION("""COMPUTED_VALUE"""),"#N/A")</f>
        <v>#N/A</v>
      </c>
    </row>
    <row r="730" ht="15.75" customHeight="1">
      <c r="E730" s="1" t="str">
        <f>IFERROR(__xludf.DUMMYFUNCTION("""COMPUTED_VALUE"""),"#N/A")</f>
        <v>#N/A</v>
      </c>
    </row>
    <row r="731" ht="15.75" customHeight="1">
      <c r="E731" s="1" t="str">
        <f>IFERROR(__xludf.DUMMYFUNCTION("""COMPUTED_VALUE"""),"#N/A")</f>
        <v>#N/A</v>
      </c>
    </row>
    <row r="732" ht="15.75" customHeight="1">
      <c r="E732" s="1" t="str">
        <f>IFERROR(__xludf.DUMMYFUNCTION("""COMPUTED_VALUE"""),"#N/A")</f>
        <v>#N/A</v>
      </c>
    </row>
    <row r="733" ht="15.75" customHeight="1">
      <c r="E733" s="1" t="str">
        <f>IFERROR(__xludf.DUMMYFUNCTION("""COMPUTED_VALUE"""),"#N/A")</f>
        <v>#N/A</v>
      </c>
    </row>
    <row r="734" ht="15.75" customHeight="1">
      <c r="E734" s="1" t="str">
        <f>IFERROR(__xludf.DUMMYFUNCTION("""COMPUTED_VALUE"""),"#N/A")</f>
        <v>#N/A</v>
      </c>
    </row>
    <row r="735" ht="15.75" customHeight="1">
      <c r="E735" s="1" t="str">
        <f>IFERROR(__xludf.DUMMYFUNCTION("""COMPUTED_VALUE"""),"#N/A")</f>
        <v>#N/A</v>
      </c>
    </row>
    <row r="736" ht="15.75" customHeight="1">
      <c r="E736" s="1" t="str">
        <f>IFERROR(__xludf.DUMMYFUNCTION("""COMPUTED_VALUE"""),"#N/A")</f>
        <v>#N/A</v>
      </c>
    </row>
    <row r="737" ht="15.75" customHeight="1">
      <c r="E737" s="1" t="str">
        <f>IFERROR(__xludf.DUMMYFUNCTION("""COMPUTED_VALUE"""),"#N/A")</f>
        <v>#N/A</v>
      </c>
    </row>
    <row r="738" ht="15.75" customHeight="1">
      <c r="E738" s="1" t="str">
        <f>IFERROR(__xludf.DUMMYFUNCTION("""COMPUTED_VALUE"""),"#N/A")</f>
        <v>#N/A</v>
      </c>
    </row>
    <row r="739" ht="15.75" customHeight="1">
      <c r="E739" s="1" t="str">
        <f>IFERROR(__xludf.DUMMYFUNCTION("""COMPUTED_VALUE"""),"#N/A")</f>
        <v>#N/A</v>
      </c>
    </row>
    <row r="740" ht="15.75" customHeight="1">
      <c r="E740" s="1" t="str">
        <f>IFERROR(__xludf.DUMMYFUNCTION("""COMPUTED_VALUE"""),"#N/A")</f>
        <v>#N/A</v>
      </c>
    </row>
    <row r="741" ht="15.75" customHeight="1">
      <c r="E741" s="1" t="str">
        <f>IFERROR(__xludf.DUMMYFUNCTION("""COMPUTED_VALUE"""),"#N/A")</f>
        <v>#N/A</v>
      </c>
    </row>
    <row r="742" ht="15.75" customHeight="1">
      <c r="E742" s="1" t="str">
        <f>IFERROR(__xludf.DUMMYFUNCTION("""COMPUTED_VALUE"""),"#N/A")</f>
        <v>#N/A</v>
      </c>
    </row>
    <row r="743" ht="15.75" customHeight="1">
      <c r="E743" s="1" t="str">
        <f>IFERROR(__xludf.DUMMYFUNCTION("""COMPUTED_VALUE"""),"#N/A")</f>
        <v>#N/A</v>
      </c>
    </row>
    <row r="744" ht="15.75" customHeight="1">
      <c r="E744" s="1" t="str">
        <f>IFERROR(__xludf.DUMMYFUNCTION("""COMPUTED_VALUE"""),"#N/A")</f>
        <v>#N/A</v>
      </c>
    </row>
    <row r="745" ht="15.75" customHeight="1">
      <c r="E745" s="1" t="str">
        <f>IFERROR(__xludf.DUMMYFUNCTION("""COMPUTED_VALUE"""),"#N/A")</f>
        <v>#N/A</v>
      </c>
    </row>
    <row r="746" ht="15.75" customHeight="1">
      <c r="E746" s="1" t="str">
        <f>IFERROR(__xludf.DUMMYFUNCTION("""COMPUTED_VALUE"""),"#N/A")</f>
        <v>#N/A</v>
      </c>
    </row>
    <row r="747" ht="15.75" customHeight="1">
      <c r="E747" s="1" t="str">
        <f>IFERROR(__xludf.DUMMYFUNCTION("""COMPUTED_VALUE"""),"#N/A")</f>
        <v>#N/A</v>
      </c>
    </row>
    <row r="748" ht="15.75" customHeight="1">
      <c r="E748" s="1" t="str">
        <f>IFERROR(__xludf.DUMMYFUNCTION("""COMPUTED_VALUE"""),"#N/A")</f>
        <v>#N/A</v>
      </c>
    </row>
    <row r="749" ht="15.75" customHeight="1">
      <c r="E749" s="1" t="str">
        <f>IFERROR(__xludf.DUMMYFUNCTION("""COMPUTED_VALUE"""),"#N/A")</f>
        <v>#N/A</v>
      </c>
    </row>
    <row r="750" ht="15.75" customHeight="1">
      <c r="E750" s="1" t="str">
        <f>IFERROR(__xludf.DUMMYFUNCTION("""COMPUTED_VALUE"""),"#N/A")</f>
        <v>#N/A</v>
      </c>
    </row>
    <row r="751" ht="15.75" customHeight="1">
      <c r="E751" s="1" t="str">
        <f>IFERROR(__xludf.DUMMYFUNCTION("""COMPUTED_VALUE"""),"#N/A")</f>
        <v>#N/A</v>
      </c>
    </row>
    <row r="752" ht="15.75" customHeight="1">
      <c r="E752" s="1" t="str">
        <f>IFERROR(__xludf.DUMMYFUNCTION("""COMPUTED_VALUE"""),"#N/A")</f>
        <v>#N/A</v>
      </c>
    </row>
    <row r="753" ht="15.75" customHeight="1">
      <c r="E753" s="1" t="str">
        <f>IFERROR(__xludf.DUMMYFUNCTION("""COMPUTED_VALUE"""),"#N/A")</f>
        <v>#N/A</v>
      </c>
    </row>
    <row r="754" ht="15.75" customHeight="1">
      <c r="E754" s="1" t="str">
        <f>IFERROR(__xludf.DUMMYFUNCTION("""COMPUTED_VALUE"""),"#N/A")</f>
        <v>#N/A</v>
      </c>
    </row>
    <row r="755" ht="15.75" customHeight="1">
      <c r="E755" s="1" t="str">
        <f>IFERROR(__xludf.DUMMYFUNCTION("""COMPUTED_VALUE"""),"#N/A")</f>
        <v>#N/A</v>
      </c>
    </row>
    <row r="756" ht="15.75" customHeight="1">
      <c r="E756" s="1" t="str">
        <f>IFERROR(__xludf.DUMMYFUNCTION("""COMPUTED_VALUE"""),"#N/A")</f>
        <v>#N/A</v>
      </c>
    </row>
    <row r="757" ht="15.75" customHeight="1">
      <c r="E757" s="1" t="str">
        <f>IFERROR(__xludf.DUMMYFUNCTION("""COMPUTED_VALUE"""),"#N/A")</f>
        <v>#N/A</v>
      </c>
    </row>
    <row r="758" ht="15.75" customHeight="1">
      <c r="E758" s="1" t="str">
        <f>IFERROR(__xludf.DUMMYFUNCTION("""COMPUTED_VALUE"""),"#N/A")</f>
        <v>#N/A</v>
      </c>
    </row>
    <row r="759" ht="15.75" customHeight="1">
      <c r="E759" s="1" t="str">
        <f>IFERROR(__xludf.DUMMYFUNCTION("""COMPUTED_VALUE"""),"#N/A")</f>
        <v>#N/A</v>
      </c>
    </row>
    <row r="760" ht="15.75" customHeight="1">
      <c r="E760" s="1" t="str">
        <f>IFERROR(__xludf.DUMMYFUNCTION("""COMPUTED_VALUE"""),"#N/A")</f>
        <v>#N/A</v>
      </c>
    </row>
    <row r="761" ht="15.75" customHeight="1">
      <c r="E761" s="1" t="str">
        <f>IFERROR(__xludf.DUMMYFUNCTION("""COMPUTED_VALUE"""),"#N/A")</f>
        <v>#N/A</v>
      </c>
    </row>
    <row r="762" ht="15.75" customHeight="1">
      <c r="E762" s="1" t="str">
        <f>IFERROR(__xludf.DUMMYFUNCTION("""COMPUTED_VALUE"""),"#N/A")</f>
        <v>#N/A</v>
      </c>
    </row>
    <row r="763" ht="15.75" customHeight="1">
      <c r="E763" s="1" t="str">
        <f>IFERROR(__xludf.DUMMYFUNCTION("""COMPUTED_VALUE"""),"#N/A")</f>
        <v>#N/A</v>
      </c>
    </row>
    <row r="764" ht="15.75" customHeight="1">
      <c r="E764" s="1" t="str">
        <f>IFERROR(__xludf.DUMMYFUNCTION("""COMPUTED_VALUE"""),"#N/A")</f>
        <v>#N/A</v>
      </c>
    </row>
    <row r="765" ht="15.75" customHeight="1">
      <c r="E765" s="1" t="str">
        <f>IFERROR(__xludf.DUMMYFUNCTION("""COMPUTED_VALUE"""),"#N/A")</f>
        <v>#N/A</v>
      </c>
    </row>
    <row r="766" ht="15.75" customHeight="1">
      <c r="E766" s="1" t="str">
        <f>IFERROR(__xludf.DUMMYFUNCTION("""COMPUTED_VALUE"""),"#N/A")</f>
        <v>#N/A</v>
      </c>
    </row>
    <row r="767" ht="15.75" customHeight="1">
      <c r="E767" s="1" t="str">
        <f>IFERROR(__xludf.DUMMYFUNCTION("""COMPUTED_VALUE"""),"#N/A")</f>
        <v>#N/A</v>
      </c>
    </row>
    <row r="768" ht="15.75" customHeight="1">
      <c r="E768" s="1" t="str">
        <f>IFERROR(__xludf.DUMMYFUNCTION("""COMPUTED_VALUE"""),"#N/A")</f>
        <v>#N/A</v>
      </c>
    </row>
    <row r="769" ht="15.75" customHeight="1">
      <c r="E769" s="1" t="str">
        <f>IFERROR(__xludf.DUMMYFUNCTION("""COMPUTED_VALUE"""),"#N/A")</f>
        <v>#N/A</v>
      </c>
    </row>
    <row r="770" ht="15.75" customHeight="1">
      <c r="E770" s="1" t="str">
        <f>IFERROR(__xludf.DUMMYFUNCTION("""COMPUTED_VALUE"""),"#N/A")</f>
        <v>#N/A</v>
      </c>
    </row>
    <row r="771" ht="15.75" customHeight="1">
      <c r="E771" s="1" t="str">
        <f>IFERROR(__xludf.DUMMYFUNCTION("""COMPUTED_VALUE"""),"#N/A")</f>
        <v>#N/A</v>
      </c>
    </row>
    <row r="772" ht="15.75" customHeight="1">
      <c r="E772" s="1" t="str">
        <f>IFERROR(__xludf.DUMMYFUNCTION("""COMPUTED_VALUE"""),"#N/A")</f>
        <v>#N/A</v>
      </c>
    </row>
    <row r="773" ht="15.75" customHeight="1">
      <c r="E773" s="1" t="str">
        <f>IFERROR(__xludf.DUMMYFUNCTION("""COMPUTED_VALUE"""),"#N/A")</f>
        <v>#N/A</v>
      </c>
    </row>
    <row r="774" ht="15.75" customHeight="1">
      <c r="E774" s="1" t="str">
        <f>IFERROR(__xludf.DUMMYFUNCTION("""COMPUTED_VALUE"""),"#N/A")</f>
        <v>#N/A</v>
      </c>
    </row>
    <row r="775" ht="15.75" customHeight="1">
      <c r="E775" s="1" t="str">
        <f>IFERROR(__xludf.DUMMYFUNCTION("""COMPUTED_VALUE"""),"#N/A")</f>
        <v>#N/A</v>
      </c>
    </row>
    <row r="776" ht="15.75" customHeight="1">
      <c r="E776" s="1" t="str">
        <f>IFERROR(__xludf.DUMMYFUNCTION("""COMPUTED_VALUE"""),"#N/A")</f>
        <v>#N/A</v>
      </c>
    </row>
    <row r="777" ht="15.75" customHeight="1">
      <c r="E777" s="1" t="str">
        <f>IFERROR(__xludf.DUMMYFUNCTION("""COMPUTED_VALUE"""),"#N/A")</f>
        <v>#N/A</v>
      </c>
    </row>
    <row r="778" ht="15.75" customHeight="1">
      <c r="E778" s="1" t="str">
        <f>IFERROR(__xludf.DUMMYFUNCTION("""COMPUTED_VALUE"""),"#N/A")</f>
        <v>#N/A</v>
      </c>
    </row>
    <row r="779" ht="15.75" customHeight="1">
      <c r="E779" s="1" t="str">
        <f>IFERROR(__xludf.DUMMYFUNCTION("""COMPUTED_VALUE"""),"#N/A")</f>
        <v>#N/A</v>
      </c>
    </row>
    <row r="780" ht="15.75" customHeight="1">
      <c r="E780" s="1" t="str">
        <f>IFERROR(__xludf.DUMMYFUNCTION("""COMPUTED_VALUE"""),"#N/A")</f>
        <v>#N/A</v>
      </c>
    </row>
    <row r="781" ht="15.75" customHeight="1">
      <c r="E781" s="1" t="str">
        <f>IFERROR(__xludf.DUMMYFUNCTION("""COMPUTED_VALUE"""),"#N/A")</f>
        <v>#N/A</v>
      </c>
    </row>
    <row r="782" ht="15.75" customHeight="1">
      <c r="E782" s="1" t="str">
        <f>IFERROR(__xludf.DUMMYFUNCTION("""COMPUTED_VALUE"""),"#N/A")</f>
        <v>#N/A</v>
      </c>
    </row>
    <row r="783" ht="15.75" customHeight="1">
      <c r="E783" s="1" t="str">
        <f>IFERROR(__xludf.DUMMYFUNCTION("""COMPUTED_VALUE"""),"#N/A")</f>
        <v>#N/A</v>
      </c>
    </row>
    <row r="784" ht="15.75" customHeight="1">
      <c r="E784" s="1" t="str">
        <f>IFERROR(__xludf.DUMMYFUNCTION("""COMPUTED_VALUE"""),"#N/A")</f>
        <v>#N/A</v>
      </c>
    </row>
    <row r="785" ht="15.75" customHeight="1">
      <c r="E785" s="1" t="str">
        <f>IFERROR(__xludf.DUMMYFUNCTION("""COMPUTED_VALUE"""),"#N/A")</f>
        <v>#N/A</v>
      </c>
    </row>
    <row r="786" ht="15.75" customHeight="1">
      <c r="E786" s="1" t="str">
        <f>IFERROR(__xludf.DUMMYFUNCTION("""COMPUTED_VALUE"""),"#N/A")</f>
        <v>#N/A</v>
      </c>
    </row>
    <row r="787" ht="15.75" customHeight="1">
      <c r="E787" s="1" t="str">
        <f>IFERROR(__xludf.DUMMYFUNCTION("""COMPUTED_VALUE"""),"#N/A")</f>
        <v>#N/A</v>
      </c>
    </row>
    <row r="788" ht="15.75" customHeight="1">
      <c r="E788" s="1" t="str">
        <f>IFERROR(__xludf.DUMMYFUNCTION("""COMPUTED_VALUE"""),"#N/A")</f>
        <v>#N/A</v>
      </c>
    </row>
    <row r="789" ht="15.75" customHeight="1">
      <c r="E789" s="1" t="str">
        <f>IFERROR(__xludf.DUMMYFUNCTION("""COMPUTED_VALUE"""),"#N/A")</f>
        <v>#N/A</v>
      </c>
    </row>
    <row r="790" ht="15.75" customHeight="1">
      <c r="E790" s="1" t="str">
        <f>IFERROR(__xludf.DUMMYFUNCTION("""COMPUTED_VALUE"""),"#N/A")</f>
        <v>#N/A</v>
      </c>
    </row>
    <row r="791" ht="15.75" customHeight="1">
      <c r="E791" s="1" t="str">
        <f>IFERROR(__xludf.DUMMYFUNCTION("""COMPUTED_VALUE"""),"#N/A")</f>
        <v>#N/A</v>
      </c>
    </row>
    <row r="792" ht="15.75" customHeight="1">
      <c r="E792" s="1" t="str">
        <f>IFERROR(__xludf.DUMMYFUNCTION("""COMPUTED_VALUE"""),"#N/A")</f>
        <v>#N/A</v>
      </c>
    </row>
    <row r="793" ht="15.75" customHeight="1">
      <c r="E793" s="1" t="str">
        <f>IFERROR(__xludf.DUMMYFUNCTION("""COMPUTED_VALUE"""),"#N/A")</f>
        <v>#N/A</v>
      </c>
    </row>
    <row r="794" ht="15.75" customHeight="1">
      <c r="E794" s="1" t="str">
        <f>IFERROR(__xludf.DUMMYFUNCTION("""COMPUTED_VALUE"""),"#N/A")</f>
        <v>#N/A</v>
      </c>
    </row>
    <row r="795" ht="15.75" customHeight="1">
      <c r="E795" s="1" t="str">
        <f>IFERROR(__xludf.DUMMYFUNCTION("""COMPUTED_VALUE"""),"#N/A")</f>
        <v>#N/A</v>
      </c>
    </row>
    <row r="796" ht="15.75" customHeight="1">
      <c r="E796" s="1" t="str">
        <f>IFERROR(__xludf.DUMMYFUNCTION("""COMPUTED_VALUE"""),"#N/A")</f>
        <v>#N/A</v>
      </c>
    </row>
    <row r="797" ht="15.75" customHeight="1">
      <c r="E797" s="1" t="str">
        <f>IFERROR(__xludf.DUMMYFUNCTION("""COMPUTED_VALUE"""),"#N/A")</f>
        <v>#N/A</v>
      </c>
    </row>
    <row r="798" ht="15.75" customHeight="1">
      <c r="E798" s="1" t="str">
        <f>IFERROR(__xludf.DUMMYFUNCTION("""COMPUTED_VALUE"""),"#N/A")</f>
        <v>#N/A</v>
      </c>
    </row>
    <row r="799" ht="15.75" customHeight="1">
      <c r="E799" s="1" t="str">
        <f>IFERROR(__xludf.DUMMYFUNCTION("""COMPUTED_VALUE"""),"#N/A")</f>
        <v>#N/A</v>
      </c>
    </row>
    <row r="800" ht="15.75" customHeight="1">
      <c r="E800" s="1" t="str">
        <f>IFERROR(__xludf.DUMMYFUNCTION("""COMPUTED_VALUE"""),"#N/A")</f>
        <v>#N/A</v>
      </c>
    </row>
    <row r="801" ht="15.75" customHeight="1">
      <c r="E801" s="1" t="str">
        <f>IFERROR(__xludf.DUMMYFUNCTION("""COMPUTED_VALUE"""),"#N/A")</f>
        <v>#N/A</v>
      </c>
    </row>
    <row r="802" ht="15.75" customHeight="1">
      <c r="E802" s="1" t="str">
        <f>IFERROR(__xludf.DUMMYFUNCTION("""COMPUTED_VALUE"""),"#N/A")</f>
        <v>#N/A</v>
      </c>
    </row>
    <row r="803" ht="15.75" customHeight="1">
      <c r="E803" s="1" t="str">
        <f>IFERROR(__xludf.DUMMYFUNCTION("""COMPUTED_VALUE"""),"#N/A")</f>
        <v>#N/A</v>
      </c>
    </row>
    <row r="804" ht="15.75" customHeight="1">
      <c r="E804" s="1" t="str">
        <f>IFERROR(__xludf.DUMMYFUNCTION("""COMPUTED_VALUE"""),"#N/A")</f>
        <v>#N/A</v>
      </c>
    </row>
    <row r="805" ht="15.75" customHeight="1">
      <c r="E805" s="1" t="str">
        <f>IFERROR(__xludf.DUMMYFUNCTION("""COMPUTED_VALUE"""),"#N/A")</f>
        <v>#N/A</v>
      </c>
    </row>
    <row r="806" ht="15.75" customHeight="1">
      <c r="E806" s="1" t="str">
        <f>IFERROR(__xludf.DUMMYFUNCTION("""COMPUTED_VALUE"""),"#N/A")</f>
        <v>#N/A</v>
      </c>
    </row>
    <row r="807" ht="15.75" customHeight="1">
      <c r="E807" s="1" t="str">
        <f>IFERROR(__xludf.DUMMYFUNCTION("""COMPUTED_VALUE"""),"#N/A")</f>
        <v>#N/A</v>
      </c>
    </row>
    <row r="808" ht="15.75" customHeight="1">
      <c r="E808" s="1" t="str">
        <f>IFERROR(__xludf.DUMMYFUNCTION("""COMPUTED_VALUE"""),"#N/A")</f>
        <v>#N/A</v>
      </c>
    </row>
    <row r="809" ht="15.75" customHeight="1">
      <c r="E809" s="1" t="str">
        <f>IFERROR(__xludf.DUMMYFUNCTION("""COMPUTED_VALUE"""),"#N/A")</f>
        <v>#N/A</v>
      </c>
    </row>
    <row r="810" ht="15.75" customHeight="1">
      <c r="E810" s="1" t="str">
        <f>IFERROR(__xludf.DUMMYFUNCTION("""COMPUTED_VALUE"""),"#N/A")</f>
        <v>#N/A</v>
      </c>
    </row>
    <row r="811" ht="15.75" customHeight="1">
      <c r="E811" s="1" t="str">
        <f>IFERROR(__xludf.DUMMYFUNCTION("""COMPUTED_VALUE"""),"#N/A")</f>
        <v>#N/A</v>
      </c>
    </row>
    <row r="812" ht="15.75" customHeight="1">
      <c r="E812" s="1" t="str">
        <f>IFERROR(__xludf.DUMMYFUNCTION("""COMPUTED_VALUE"""),"#N/A")</f>
        <v>#N/A</v>
      </c>
    </row>
    <row r="813" ht="15.75" customHeight="1">
      <c r="E813" s="1" t="str">
        <f>IFERROR(__xludf.DUMMYFUNCTION("""COMPUTED_VALUE"""),"#N/A")</f>
        <v>#N/A</v>
      </c>
    </row>
    <row r="814" ht="15.75" customHeight="1">
      <c r="E814" s="1" t="str">
        <f>IFERROR(__xludf.DUMMYFUNCTION("""COMPUTED_VALUE"""),"#N/A")</f>
        <v>#N/A</v>
      </c>
    </row>
    <row r="815" ht="15.75" customHeight="1">
      <c r="E815" s="1" t="str">
        <f>IFERROR(__xludf.DUMMYFUNCTION("""COMPUTED_VALUE"""),"#N/A")</f>
        <v>#N/A</v>
      </c>
    </row>
    <row r="816" ht="15.75" customHeight="1">
      <c r="E816" s="1" t="str">
        <f>IFERROR(__xludf.DUMMYFUNCTION("""COMPUTED_VALUE"""),"#N/A")</f>
        <v>#N/A</v>
      </c>
    </row>
    <row r="817" ht="15.75" customHeight="1">
      <c r="E817" s="1" t="str">
        <f>IFERROR(__xludf.DUMMYFUNCTION("""COMPUTED_VALUE"""),"#N/A")</f>
        <v>#N/A</v>
      </c>
    </row>
    <row r="818" ht="15.75" customHeight="1">
      <c r="E818" s="1" t="str">
        <f>IFERROR(__xludf.DUMMYFUNCTION("""COMPUTED_VALUE"""),"#N/A")</f>
        <v>#N/A</v>
      </c>
    </row>
    <row r="819" ht="15.75" customHeight="1">
      <c r="E819" s="1" t="str">
        <f>IFERROR(__xludf.DUMMYFUNCTION("""COMPUTED_VALUE"""),"#N/A")</f>
        <v>#N/A</v>
      </c>
    </row>
    <row r="820" ht="15.75" customHeight="1">
      <c r="E820" s="1" t="str">
        <f>IFERROR(__xludf.DUMMYFUNCTION("""COMPUTED_VALUE"""),"#N/A")</f>
        <v>#N/A</v>
      </c>
    </row>
    <row r="821" ht="15.75" customHeight="1">
      <c r="E821" s="1" t="str">
        <f>IFERROR(__xludf.DUMMYFUNCTION("""COMPUTED_VALUE"""),"#N/A")</f>
        <v>#N/A</v>
      </c>
    </row>
    <row r="822" ht="15.75" customHeight="1">
      <c r="E822" s="1" t="str">
        <f>IFERROR(__xludf.DUMMYFUNCTION("""COMPUTED_VALUE"""),"#N/A")</f>
        <v>#N/A</v>
      </c>
    </row>
    <row r="823" ht="15.75" customHeight="1">
      <c r="E823" s="1" t="str">
        <f>IFERROR(__xludf.DUMMYFUNCTION("""COMPUTED_VALUE"""),"#N/A")</f>
        <v>#N/A</v>
      </c>
    </row>
    <row r="824" ht="15.75" customHeight="1">
      <c r="E824" s="1" t="str">
        <f>IFERROR(__xludf.DUMMYFUNCTION("""COMPUTED_VALUE"""),"#N/A")</f>
        <v>#N/A</v>
      </c>
    </row>
    <row r="825" ht="15.75" customHeight="1">
      <c r="E825" s="1" t="str">
        <f>IFERROR(__xludf.DUMMYFUNCTION("""COMPUTED_VALUE"""),"#N/A")</f>
        <v>#N/A</v>
      </c>
    </row>
    <row r="826" ht="15.75" customHeight="1">
      <c r="E826" s="1" t="str">
        <f>IFERROR(__xludf.DUMMYFUNCTION("""COMPUTED_VALUE"""),"#N/A")</f>
        <v>#N/A</v>
      </c>
    </row>
    <row r="827" ht="15.75" customHeight="1">
      <c r="E827" s="1" t="str">
        <f>IFERROR(__xludf.DUMMYFUNCTION("""COMPUTED_VALUE"""),"#N/A")</f>
        <v>#N/A</v>
      </c>
    </row>
    <row r="828" ht="15.75" customHeight="1">
      <c r="E828" s="1" t="str">
        <f>IFERROR(__xludf.DUMMYFUNCTION("""COMPUTED_VALUE"""),"#N/A")</f>
        <v>#N/A</v>
      </c>
    </row>
    <row r="829" ht="15.75" customHeight="1">
      <c r="E829" s="1" t="str">
        <f>IFERROR(__xludf.DUMMYFUNCTION("""COMPUTED_VALUE"""),"#N/A")</f>
        <v>#N/A</v>
      </c>
    </row>
    <row r="830" ht="15.75" customHeight="1">
      <c r="E830" s="1" t="str">
        <f>IFERROR(__xludf.DUMMYFUNCTION("""COMPUTED_VALUE"""),"#N/A")</f>
        <v>#N/A</v>
      </c>
    </row>
    <row r="831" ht="15.75" customHeight="1">
      <c r="E831" s="1" t="str">
        <f>IFERROR(__xludf.DUMMYFUNCTION("""COMPUTED_VALUE"""),"#N/A")</f>
        <v>#N/A</v>
      </c>
    </row>
    <row r="832" ht="15.75" customHeight="1">
      <c r="E832" s="1" t="str">
        <f>IFERROR(__xludf.DUMMYFUNCTION("""COMPUTED_VALUE"""),"#N/A")</f>
        <v>#N/A</v>
      </c>
    </row>
    <row r="833" ht="15.75" customHeight="1">
      <c r="E833" s="1" t="str">
        <f>IFERROR(__xludf.DUMMYFUNCTION("""COMPUTED_VALUE"""),"#N/A")</f>
        <v>#N/A</v>
      </c>
    </row>
    <row r="834" ht="15.75" customHeight="1">
      <c r="E834" s="1" t="str">
        <f>IFERROR(__xludf.DUMMYFUNCTION("""COMPUTED_VALUE"""),"#N/A")</f>
        <v>#N/A</v>
      </c>
    </row>
    <row r="835" ht="15.75" customHeight="1">
      <c r="E835" s="1" t="str">
        <f>IFERROR(__xludf.DUMMYFUNCTION("""COMPUTED_VALUE"""),"#N/A")</f>
        <v>#N/A</v>
      </c>
    </row>
    <row r="836" ht="15.75" customHeight="1">
      <c r="E836" s="1" t="str">
        <f>IFERROR(__xludf.DUMMYFUNCTION("""COMPUTED_VALUE"""),"#N/A")</f>
        <v>#N/A</v>
      </c>
    </row>
    <row r="837" ht="15.75" customHeight="1">
      <c r="E837" s="1" t="str">
        <f>IFERROR(__xludf.DUMMYFUNCTION("""COMPUTED_VALUE"""),"#N/A")</f>
        <v>#N/A</v>
      </c>
    </row>
    <row r="838" ht="15.75" customHeight="1">
      <c r="E838" s="1" t="str">
        <f>IFERROR(__xludf.DUMMYFUNCTION("""COMPUTED_VALUE"""),"#N/A")</f>
        <v>#N/A</v>
      </c>
    </row>
    <row r="839" ht="15.75" customHeight="1">
      <c r="E839" s="1" t="str">
        <f>IFERROR(__xludf.DUMMYFUNCTION("""COMPUTED_VALUE"""),"#N/A")</f>
        <v>#N/A</v>
      </c>
    </row>
    <row r="840" ht="15.75" customHeight="1">
      <c r="E840" s="1" t="str">
        <f>IFERROR(__xludf.DUMMYFUNCTION("""COMPUTED_VALUE"""),"#N/A")</f>
        <v>#N/A</v>
      </c>
    </row>
    <row r="841" ht="15.75" customHeight="1">
      <c r="E841" s="1" t="str">
        <f>IFERROR(__xludf.DUMMYFUNCTION("""COMPUTED_VALUE"""),"#N/A")</f>
        <v>#N/A</v>
      </c>
    </row>
    <row r="842" ht="15.75" customHeight="1">
      <c r="E842" s="1" t="str">
        <f>IFERROR(__xludf.DUMMYFUNCTION("""COMPUTED_VALUE"""),"#N/A")</f>
        <v>#N/A</v>
      </c>
    </row>
    <row r="843" ht="15.75" customHeight="1">
      <c r="E843" s="1" t="str">
        <f>IFERROR(__xludf.DUMMYFUNCTION("""COMPUTED_VALUE"""),"#N/A")</f>
        <v>#N/A</v>
      </c>
    </row>
    <row r="844" ht="15.75" customHeight="1">
      <c r="E844" s="1" t="str">
        <f>IFERROR(__xludf.DUMMYFUNCTION("""COMPUTED_VALUE"""),"#N/A")</f>
        <v>#N/A</v>
      </c>
    </row>
    <row r="845" ht="15.75" customHeight="1">
      <c r="E845" s="1" t="str">
        <f>IFERROR(__xludf.DUMMYFUNCTION("""COMPUTED_VALUE"""),"#N/A")</f>
        <v>#N/A</v>
      </c>
    </row>
    <row r="846" ht="15.75" customHeight="1">
      <c r="E846" s="1" t="str">
        <f>IFERROR(__xludf.DUMMYFUNCTION("""COMPUTED_VALUE"""),"#N/A")</f>
        <v>#N/A</v>
      </c>
    </row>
    <row r="847" ht="15.75" customHeight="1">
      <c r="E847" s="1" t="str">
        <f>IFERROR(__xludf.DUMMYFUNCTION("""COMPUTED_VALUE"""),"#N/A")</f>
        <v>#N/A</v>
      </c>
    </row>
    <row r="848" ht="15.75" customHeight="1">
      <c r="E848" s="1" t="str">
        <f>IFERROR(__xludf.DUMMYFUNCTION("""COMPUTED_VALUE"""),"#N/A")</f>
        <v>#N/A</v>
      </c>
    </row>
    <row r="849" ht="15.75" customHeight="1">
      <c r="E849" s="1" t="str">
        <f>IFERROR(__xludf.DUMMYFUNCTION("""COMPUTED_VALUE"""),"#N/A")</f>
        <v>#N/A</v>
      </c>
    </row>
    <row r="850" ht="15.75" customHeight="1">
      <c r="E850" s="1" t="str">
        <f>IFERROR(__xludf.DUMMYFUNCTION("""COMPUTED_VALUE"""),"#N/A")</f>
        <v>#N/A</v>
      </c>
    </row>
    <row r="851" ht="15.75" customHeight="1">
      <c r="E851" s="1" t="str">
        <f>IFERROR(__xludf.DUMMYFUNCTION("""COMPUTED_VALUE"""),"#N/A")</f>
        <v>#N/A</v>
      </c>
    </row>
    <row r="852" ht="15.75" customHeight="1">
      <c r="E852" s="1" t="str">
        <f>IFERROR(__xludf.DUMMYFUNCTION("""COMPUTED_VALUE"""),"#N/A")</f>
        <v>#N/A</v>
      </c>
    </row>
    <row r="853" ht="15.75" customHeight="1">
      <c r="E853" s="1" t="str">
        <f>IFERROR(__xludf.DUMMYFUNCTION("""COMPUTED_VALUE"""),"#N/A")</f>
        <v>#N/A</v>
      </c>
    </row>
    <row r="854" ht="15.75" customHeight="1">
      <c r="E854" s="1" t="str">
        <f>IFERROR(__xludf.DUMMYFUNCTION("""COMPUTED_VALUE"""),"#N/A")</f>
        <v>#N/A</v>
      </c>
    </row>
    <row r="855" ht="15.75" customHeight="1">
      <c r="E855" s="1" t="str">
        <f>IFERROR(__xludf.DUMMYFUNCTION("""COMPUTED_VALUE"""),"#N/A")</f>
        <v>#N/A</v>
      </c>
    </row>
    <row r="856" ht="15.75" customHeight="1">
      <c r="E856" s="1" t="str">
        <f>IFERROR(__xludf.DUMMYFUNCTION("""COMPUTED_VALUE"""),"#N/A")</f>
        <v>#N/A</v>
      </c>
    </row>
    <row r="857" ht="15.75" customHeight="1">
      <c r="E857" s="1" t="str">
        <f>IFERROR(__xludf.DUMMYFUNCTION("""COMPUTED_VALUE"""),"#N/A")</f>
        <v>#N/A</v>
      </c>
    </row>
    <row r="858" ht="15.75" customHeight="1">
      <c r="E858" s="1" t="str">
        <f>IFERROR(__xludf.DUMMYFUNCTION("""COMPUTED_VALUE"""),"#N/A")</f>
        <v>#N/A</v>
      </c>
    </row>
    <row r="859" ht="15.75" customHeight="1">
      <c r="E859" s="1" t="str">
        <f>IFERROR(__xludf.DUMMYFUNCTION("""COMPUTED_VALUE"""),"#N/A")</f>
        <v>#N/A</v>
      </c>
    </row>
    <row r="860" ht="15.75" customHeight="1">
      <c r="E860" s="1" t="str">
        <f>IFERROR(__xludf.DUMMYFUNCTION("""COMPUTED_VALUE"""),"#N/A")</f>
        <v>#N/A</v>
      </c>
    </row>
    <row r="861" ht="15.75" customHeight="1">
      <c r="E861" s="1" t="str">
        <f>IFERROR(__xludf.DUMMYFUNCTION("""COMPUTED_VALUE"""),"#N/A")</f>
        <v>#N/A</v>
      </c>
    </row>
    <row r="862" ht="15.75" customHeight="1">
      <c r="E862" s="1" t="str">
        <f>IFERROR(__xludf.DUMMYFUNCTION("""COMPUTED_VALUE"""),"#N/A")</f>
        <v>#N/A</v>
      </c>
    </row>
    <row r="863" ht="15.75" customHeight="1">
      <c r="E863" s="1" t="str">
        <f>IFERROR(__xludf.DUMMYFUNCTION("""COMPUTED_VALUE"""),"#N/A")</f>
        <v>#N/A</v>
      </c>
    </row>
    <row r="864" ht="15.75" customHeight="1">
      <c r="E864" s="1" t="str">
        <f>IFERROR(__xludf.DUMMYFUNCTION("""COMPUTED_VALUE"""),"#N/A")</f>
        <v>#N/A</v>
      </c>
    </row>
    <row r="865" ht="15.75" customHeight="1">
      <c r="E865" s="1" t="str">
        <f>IFERROR(__xludf.DUMMYFUNCTION("""COMPUTED_VALUE"""),"#N/A")</f>
        <v>#N/A</v>
      </c>
    </row>
    <row r="866" ht="15.75" customHeight="1">
      <c r="E866" s="1" t="str">
        <f>IFERROR(__xludf.DUMMYFUNCTION("""COMPUTED_VALUE"""),"#N/A")</f>
        <v>#N/A</v>
      </c>
    </row>
    <row r="867" ht="15.75" customHeight="1">
      <c r="E867" s="1" t="str">
        <f>IFERROR(__xludf.DUMMYFUNCTION("""COMPUTED_VALUE"""),"#N/A")</f>
        <v>#N/A</v>
      </c>
    </row>
    <row r="868" ht="15.75" customHeight="1">
      <c r="E868" s="1" t="str">
        <f>IFERROR(__xludf.DUMMYFUNCTION("""COMPUTED_VALUE"""),"#N/A")</f>
        <v>#N/A</v>
      </c>
    </row>
    <row r="869" ht="15.75" customHeight="1">
      <c r="E869" s="1" t="str">
        <f>IFERROR(__xludf.DUMMYFUNCTION("""COMPUTED_VALUE"""),"#N/A")</f>
        <v>#N/A</v>
      </c>
    </row>
    <row r="870" ht="15.75" customHeight="1">
      <c r="E870" s="1" t="str">
        <f>IFERROR(__xludf.DUMMYFUNCTION("""COMPUTED_VALUE"""),"#N/A")</f>
        <v>#N/A</v>
      </c>
    </row>
    <row r="871" ht="15.75" customHeight="1">
      <c r="E871" s="1" t="str">
        <f>IFERROR(__xludf.DUMMYFUNCTION("""COMPUTED_VALUE"""),"#N/A")</f>
        <v>#N/A</v>
      </c>
    </row>
    <row r="872" ht="15.75" customHeight="1">
      <c r="E872" s="1" t="str">
        <f>IFERROR(__xludf.DUMMYFUNCTION("""COMPUTED_VALUE"""),"#N/A")</f>
        <v>#N/A</v>
      </c>
    </row>
    <row r="873" ht="15.75" customHeight="1">
      <c r="E873" s="1" t="str">
        <f>IFERROR(__xludf.DUMMYFUNCTION("""COMPUTED_VALUE"""),"#N/A")</f>
        <v>#N/A</v>
      </c>
    </row>
    <row r="874" ht="15.75" customHeight="1">
      <c r="E874" s="1" t="str">
        <f>IFERROR(__xludf.DUMMYFUNCTION("""COMPUTED_VALUE"""),"#N/A")</f>
        <v>#N/A</v>
      </c>
    </row>
    <row r="875" ht="15.75" customHeight="1">
      <c r="E875" s="1" t="str">
        <f>IFERROR(__xludf.DUMMYFUNCTION("""COMPUTED_VALUE"""),"#N/A")</f>
        <v>#N/A</v>
      </c>
    </row>
    <row r="876" ht="15.75" customHeight="1">
      <c r="E876" s="1" t="str">
        <f>IFERROR(__xludf.DUMMYFUNCTION("""COMPUTED_VALUE"""),"#N/A")</f>
        <v>#N/A</v>
      </c>
    </row>
    <row r="877" ht="15.75" customHeight="1">
      <c r="E877" s="1" t="str">
        <f>IFERROR(__xludf.DUMMYFUNCTION("""COMPUTED_VALUE"""),"#N/A")</f>
        <v>#N/A</v>
      </c>
    </row>
    <row r="878" ht="15.75" customHeight="1">
      <c r="E878" s="1" t="str">
        <f>IFERROR(__xludf.DUMMYFUNCTION("""COMPUTED_VALUE"""),"#N/A")</f>
        <v>#N/A</v>
      </c>
    </row>
    <row r="879" ht="15.75" customHeight="1">
      <c r="E879" s="1" t="str">
        <f>IFERROR(__xludf.DUMMYFUNCTION("""COMPUTED_VALUE"""),"#N/A")</f>
        <v>#N/A</v>
      </c>
    </row>
    <row r="880" ht="15.75" customHeight="1">
      <c r="E880" s="1" t="str">
        <f>IFERROR(__xludf.DUMMYFUNCTION("""COMPUTED_VALUE"""),"#N/A")</f>
        <v>#N/A</v>
      </c>
    </row>
    <row r="881" ht="15.75" customHeight="1">
      <c r="E881" s="1" t="str">
        <f>IFERROR(__xludf.DUMMYFUNCTION("""COMPUTED_VALUE"""),"#N/A")</f>
        <v>#N/A</v>
      </c>
    </row>
    <row r="882" ht="15.75" customHeight="1">
      <c r="E882" s="1" t="str">
        <f>IFERROR(__xludf.DUMMYFUNCTION("""COMPUTED_VALUE"""),"#N/A")</f>
        <v>#N/A</v>
      </c>
    </row>
    <row r="883" ht="15.75" customHeight="1">
      <c r="E883" s="1" t="str">
        <f>IFERROR(__xludf.DUMMYFUNCTION("""COMPUTED_VALUE"""),"#N/A")</f>
        <v>#N/A</v>
      </c>
    </row>
    <row r="884" ht="15.75" customHeight="1">
      <c r="E884" s="1" t="str">
        <f>IFERROR(__xludf.DUMMYFUNCTION("""COMPUTED_VALUE"""),"#N/A")</f>
        <v>#N/A</v>
      </c>
    </row>
    <row r="885" ht="15.75" customHeight="1">
      <c r="E885" s="1" t="str">
        <f>IFERROR(__xludf.DUMMYFUNCTION("""COMPUTED_VALUE"""),"#N/A")</f>
        <v>#N/A</v>
      </c>
    </row>
    <row r="886" ht="15.75" customHeight="1">
      <c r="E886" s="1" t="str">
        <f>IFERROR(__xludf.DUMMYFUNCTION("""COMPUTED_VALUE"""),"#N/A")</f>
        <v>#N/A</v>
      </c>
    </row>
    <row r="887" ht="15.75" customHeight="1">
      <c r="E887" s="1" t="str">
        <f>IFERROR(__xludf.DUMMYFUNCTION("""COMPUTED_VALUE"""),"#N/A")</f>
        <v>#N/A</v>
      </c>
    </row>
    <row r="888" ht="15.75" customHeight="1">
      <c r="E888" s="1" t="str">
        <f>IFERROR(__xludf.DUMMYFUNCTION("""COMPUTED_VALUE"""),"#N/A")</f>
        <v>#N/A</v>
      </c>
    </row>
    <row r="889" ht="15.75" customHeight="1">
      <c r="E889" s="1" t="str">
        <f>IFERROR(__xludf.DUMMYFUNCTION("""COMPUTED_VALUE"""),"#N/A")</f>
        <v>#N/A</v>
      </c>
    </row>
    <row r="890" ht="15.75" customHeight="1">
      <c r="E890" s="1" t="str">
        <f>IFERROR(__xludf.DUMMYFUNCTION("""COMPUTED_VALUE"""),"#N/A")</f>
        <v>#N/A</v>
      </c>
    </row>
    <row r="891" ht="15.75" customHeight="1">
      <c r="E891" s="1" t="str">
        <f>IFERROR(__xludf.DUMMYFUNCTION("""COMPUTED_VALUE"""),"#N/A")</f>
        <v>#N/A</v>
      </c>
    </row>
    <row r="892" ht="15.75" customHeight="1">
      <c r="E892" s="1" t="str">
        <f>IFERROR(__xludf.DUMMYFUNCTION("""COMPUTED_VALUE"""),"#N/A")</f>
        <v>#N/A</v>
      </c>
    </row>
    <row r="893" ht="15.75" customHeight="1">
      <c r="E893" s="1" t="str">
        <f>IFERROR(__xludf.DUMMYFUNCTION("""COMPUTED_VALUE"""),"#N/A")</f>
        <v>#N/A</v>
      </c>
    </row>
    <row r="894" ht="15.75" customHeight="1">
      <c r="E894" s="1" t="str">
        <f>IFERROR(__xludf.DUMMYFUNCTION("""COMPUTED_VALUE"""),"#N/A")</f>
        <v>#N/A</v>
      </c>
    </row>
    <row r="895" ht="15.75" customHeight="1">
      <c r="E895" s="1" t="str">
        <f>IFERROR(__xludf.DUMMYFUNCTION("""COMPUTED_VALUE"""),"#N/A")</f>
        <v>#N/A</v>
      </c>
    </row>
    <row r="896" ht="15.75" customHeight="1">
      <c r="E896" s="1" t="str">
        <f>IFERROR(__xludf.DUMMYFUNCTION("""COMPUTED_VALUE"""),"#N/A")</f>
        <v>#N/A</v>
      </c>
    </row>
    <row r="897" ht="15.75" customHeight="1">
      <c r="E897" s="1" t="str">
        <f>IFERROR(__xludf.DUMMYFUNCTION("""COMPUTED_VALUE"""),"#N/A")</f>
        <v>#N/A</v>
      </c>
    </row>
    <row r="898" ht="15.75" customHeight="1">
      <c r="E898" s="1" t="str">
        <f>IFERROR(__xludf.DUMMYFUNCTION("""COMPUTED_VALUE"""),"#N/A")</f>
        <v>#N/A</v>
      </c>
    </row>
    <row r="899" ht="15.75" customHeight="1">
      <c r="E899" s="1" t="str">
        <f>IFERROR(__xludf.DUMMYFUNCTION("""COMPUTED_VALUE"""),"#N/A")</f>
        <v>#N/A</v>
      </c>
    </row>
    <row r="900" ht="15.75" customHeight="1">
      <c r="E900" s="1" t="str">
        <f>IFERROR(__xludf.DUMMYFUNCTION("""COMPUTED_VALUE"""),"#N/A")</f>
        <v>#N/A</v>
      </c>
    </row>
    <row r="901" ht="15.75" customHeight="1">
      <c r="E901" s="1" t="str">
        <f>IFERROR(__xludf.DUMMYFUNCTION("""COMPUTED_VALUE"""),"#N/A")</f>
        <v>#N/A</v>
      </c>
    </row>
    <row r="902" ht="15.75" customHeight="1">
      <c r="E902" s="1" t="str">
        <f>IFERROR(__xludf.DUMMYFUNCTION("""COMPUTED_VALUE"""),"#N/A")</f>
        <v>#N/A</v>
      </c>
    </row>
    <row r="903" ht="15.75" customHeight="1">
      <c r="E903" s="1" t="str">
        <f>IFERROR(__xludf.DUMMYFUNCTION("""COMPUTED_VALUE"""),"#N/A")</f>
        <v>#N/A</v>
      </c>
    </row>
    <row r="904" ht="15.75" customHeight="1">
      <c r="E904" s="1" t="str">
        <f>IFERROR(__xludf.DUMMYFUNCTION("""COMPUTED_VALUE"""),"#N/A")</f>
        <v>#N/A</v>
      </c>
    </row>
    <row r="905" ht="15.75" customHeight="1">
      <c r="E905" s="1" t="str">
        <f>IFERROR(__xludf.DUMMYFUNCTION("""COMPUTED_VALUE"""),"#N/A")</f>
        <v>#N/A</v>
      </c>
    </row>
    <row r="906" ht="15.75" customHeight="1">
      <c r="E906" s="1" t="str">
        <f>IFERROR(__xludf.DUMMYFUNCTION("""COMPUTED_VALUE"""),"#N/A")</f>
        <v>#N/A</v>
      </c>
    </row>
    <row r="907" ht="15.75" customHeight="1">
      <c r="E907" s="1" t="str">
        <f>IFERROR(__xludf.DUMMYFUNCTION("""COMPUTED_VALUE"""),"#N/A")</f>
        <v>#N/A</v>
      </c>
    </row>
    <row r="908" ht="15.75" customHeight="1">
      <c r="E908" s="1" t="str">
        <f>IFERROR(__xludf.DUMMYFUNCTION("""COMPUTED_VALUE"""),"#N/A")</f>
        <v>#N/A</v>
      </c>
    </row>
    <row r="909" ht="15.75" customHeight="1">
      <c r="E909" s="1" t="str">
        <f>IFERROR(__xludf.DUMMYFUNCTION("""COMPUTED_VALUE"""),"#N/A")</f>
        <v>#N/A</v>
      </c>
    </row>
    <row r="910" ht="15.75" customHeight="1">
      <c r="E910" s="1" t="str">
        <f>IFERROR(__xludf.DUMMYFUNCTION("""COMPUTED_VALUE"""),"#N/A")</f>
        <v>#N/A</v>
      </c>
    </row>
    <row r="911" ht="15.75" customHeight="1">
      <c r="E911" s="1" t="str">
        <f>IFERROR(__xludf.DUMMYFUNCTION("""COMPUTED_VALUE"""),"#N/A")</f>
        <v>#N/A</v>
      </c>
    </row>
    <row r="912" ht="15.75" customHeight="1">
      <c r="E912" s="1" t="str">
        <f>IFERROR(__xludf.DUMMYFUNCTION("""COMPUTED_VALUE"""),"#N/A")</f>
        <v>#N/A</v>
      </c>
    </row>
    <row r="913" ht="15.75" customHeight="1">
      <c r="E913" s="1" t="str">
        <f>IFERROR(__xludf.DUMMYFUNCTION("""COMPUTED_VALUE"""),"#N/A")</f>
        <v>#N/A</v>
      </c>
    </row>
    <row r="914" ht="15.75" customHeight="1">
      <c r="E914" s="1" t="str">
        <f>IFERROR(__xludf.DUMMYFUNCTION("""COMPUTED_VALUE"""),"#N/A")</f>
        <v>#N/A</v>
      </c>
    </row>
    <row r="915" ht="15.75" customHeight="1">
      <c r="E915" s="1" t="str">
        <f>IFERROR(__xludf.DUMMYFUNCTION("""COMPUTED_VALUE"""),"#N/A")</f>
        <v>#N/A</v>
      </c>
    </row>
    <row r="916" ht="15.75" customHeight="1">
      <c r="E916" s="1" t="str">
        <f>IFERROR(__xludf.DUMMYFUNCTION("""COMPUTED_VALUE"""),"#N/A")</f>
        <v>#N/A</v>
      </c>
    </row>
    <row r="917" ht="15.75" customHeight="1">
      <c r="E917" s="1" t="str">
        <f>IFERROR(__xludf.DUMMYFUNCTION("""COMPUTED_VALUE"""),"#N/A")</f>
        <v>#N/A</v>
      </c>
    </row>
    <row r="918" ht="15.75" customHeight="1">
      <c r="E918" s="1" t="str">
        <f>IFERROR(__xludf.DUMMYFUNCTION("""COMPUTED_VALUE"""),"#N/A")</f>
        <v>#N/A</v>
      </c>
    </row>
    <row r="919" ht="15.75" customHeight="1">
      <c r="E919" s="1" t="str">
        <f>IFERROR(__xludf.DUMMYFUNCTION("""COMPUTED_VALUE"""),"#N/A")</f>
        <v>#N/A</v>
      </c>
    </row>
    <row r="920" ht="15.75" customHeight="1">
      <c r="E920" s="1" t="str">
        <f>IFERROR(__xludf.DUMMYFUNCTION("""COMPUTED_VALUE"""),"#N/A")</f>
        <v>#N/A</v>
      </c>
    </row>
    <row r="921" ht="15.75" customHeight="1">
      <c r="E921" s="1" t="str">
        <f>IFERROR(__xludf.DUMMYFUNCTION("""COMPUTED_VALUE"""),"#N/A")</f>
        <v>#N/A</v>
      </c>
    </row>
    <row r="922" ht="15.75" customHeight="1">
      <c r="E922" s="1" t="str">
        <f>IFERROR(__xludf.DUMMYFUNCTION("""COMPUTED_VALUE"""),"#N/A")</f>
        <v>#N/A</v>
      </c>
    </row>
    <row r="923" ht="15.75" customHeight="1">
      <c r="E923" s="1" t="str">
        <f>IFERROR(__xludf.DUMMYFUNCTION("""COMPUTED_VALUE"""),"#N/A")</f>
        <v>#N/A</v>
      </c>
    </row>
    <row r="924" ht="15.75" customHeight="1">
      <c r="E924" s="1" t="str">
        <f>IFERROR(__xludf.DUMMYFUNCTION("""COMPUTED_VALUE"""),"#N/A")</f>
        <v>#N/A</v>
      </c>
    </row>
    <row r="925" ht="15.75" customHeight="1">
      <c r="E925" s="1" t="str">
        <f>IFERROR(__xludf.DUMMYFUNCTION("""COMPUTED_VALUE"""),"#N/A")</f>
        <v>#N/A</v>
      </c>
    </row>
    <row r="926" ht="15.75" customHeight="1">
      <c r="E926" s="1" t="str">
        <f>IFERROR(__xludf.DUMMYFUNCTION("""COMPUTED_VALUE"""),"#N/A")</f>
        <v>#N/A</v>
      </c>
    </row>
    <row r="927" ht="15.75" customHeight="1">
      <c r="E927" s="1" t="str">
        <f>IFERROR(__xludf.DUMMYFUNCTION("""COMPUTED_VALUE"""),"#N/A")</f>
        <v>#N/A</v>
      </c>
    </row>
    <row r="928" ht="15.75" customHeight="1">
      <c r="E928" s="1" t="str">
        <f>IFERROR(__xludf.DUMMYFUNCTION("""COMPUTED_VALUE"""),"#N/A")</f>
        <v>#N/A</v>
      </c>
    </row>
    <row r="929" ht="15.75" customHeight="1">
      <c r="E929" s="1" t="str">
        <f>IFERROR(__xludf.DUMMYFUNCTION("""COMPUTED_VALUE"""),"#N/A")</f>
        <v>#N/A</v>
      </c>
    </row>
    <row r="930" ht="15.75" customHeight="1">
      <c r="E930" s="1" t="str">
        <f>IFERROR(__xludf.DUMMYFUNCTION("""COMPUTED_VALUE"""),"#N/A")</f>
        <v>#N/A</v>
      </c>
    </row>
    <row r="931" ht="15.75" customHeight="1">
      <c r="E931" s="1" t="str">
        <f>IFERROR(__xludf.DUMMYFUNCTION("""COMPUTED_VALUE"""),"#N/A")</f>
        <v>#N/A</v>
      </c>
    </row>
    <row r="932" ht="15.75" customHeight="1">
      <c r="E932" s="1" t="str">
        <f>IFERROR(__xludf.DUMMYFUNCTION("""COMPUTED_VALUE"""),"#N/A")</f>
        <v>#N/A</v>
      </c>
    </row>
    <row r="933" ht="15.75" customHeight="1">
      <c r="E933" s="1" t="str">
        <f>IFERROR(__xludf.DUMMYFUNCTION("""COMPUTED_VALUE"""),"#N/A")</f>
        <v>#N/A</v>
      </c>
    </row>
    <row r="934" ht="15.75" customHeight="1">
      <c r="E934" s="1" t="str">
        <f>IFERROR(__xludf.DUMMYFUNCTION("""COMPUTED_VALUE"""),"#N/A")</f>
        <v>#N/A</v>
      </c>
    </row>
    <row r="935" ht="15.75" customHeight="1">
      <c r="E935" s="1" t="str">
        <f>IFERROR(__xludf.DUMMYFUNCTION("""COMPUTED_VALUE"""),"#N/A")</f>
        <v>#N/A</v>
      </c>
    </row>
    <row r="936" ht="15.75" customHeight="1">
      <c r="E936" s="1" t="str">
        <f>IFERROR(__xludf.DUMMYFUNCTION("""COMPUTED_VALUE"""),"#N/A")</f>
        <v>#N/A</v>
      </c>
    </row>
    <row r="937" ht="15.75" customHeight="1">
      <c r="E937" s="1" t="str">
        <f>IFERROR(__xludf.DUMMYFUNCTION("""COMPUTED_VALUE"""),"#N/A")</f>
        <v>#N/A</v>
      </c>
    </row>
    <row r="938" ht="15.75" customHeight="1">
      <c r="E938" s="1" t="str">
        <f>IFERROR(__xludf.DUMMYFUNCTION("""COMPUTED_VALUE"""),"#N/A")</f>
        <v>#N/A</v>
      </c>
    </row>
    <row r="939" ht="15.75" customHeight="1">
      <c r="E939" s="1" t="str">
        <f>IFERROR(__xludf.DUMMYFUNCTION("""COMPUTED_VALUE"""),"#N/A")</f>
        <v>#N/A</v>
      </c>
    </row>
    <row r="940" ht="15.75" customHeight="1">
      <c r="E940" s="1" t="str">
        <f>IFERROR(__xludf.DUMMYFUNCTION("""COMPUTED_VALUE"""),"#N/A")</f>
        <v>#N/A</v>
      </c>
    </row>
    <row r="941" ht="15.75" customHeight="1">
      <c r="E941" s="1" t="str">
        <f>IFERROR(__xludf.DUMMYFUNCTION("""COMPUTED_VALUE"""),"#N/A")</f>
        <v>#N/A</v>
      </c>
    </row>
    <row r="942" ht="15.75" customHeight="1">
      <c r="E942" s="1" t="str">
        <f>IFERROR(__xludf.DUMMYFUNCTION("""COMPUTED_VALUE"""),"#N/A")</f>
        <v>#N/A</v>
      </c>
    </row>
    <row r="943" ht="15.75" customHeight="1">
      <c r="E943" s="1" t="str">
        <f>IFERROR(__xludf.DUMMYFUNCTION("""COMPUTED_VALUE"""),"#N/A")</f>
        <v>#N/A</v>
      </c>
    </row>
    <row r="944" ht="15.75" customHeight="1">
      <c r="E944" s="1" t="str">
        <f>IFERROR(__xludf.DUMMYFUNCTION("""COMPUTED_VALUE"""),"#N/A")</f>
        <v>#N/A</v>
      </c>
    </row>
    <row r="945" ht="15.75" customHeight="1">
      <c r="E945" s="1" t="str">
        <f>IFERROR(__xludf.DUMMYFUNCTION("""COMPUTED_VALUE"""),"#N/A")</f>
        <v>#N/A</v>
      </c>
    </row>
    <row r="946" ht="15.75" customHeight="1">
      <c r="E946" s="1" t="str">
        <f>IFERROR(__xludf.DUMMYFUNCTION("""COMPUTED_VALUE"""),"#N/A")</f>
        <v>#N/A</v>
      </c>
    </row>
    <row r="947" ht="15.75" customHeight="1">
      <c r="E947" s="1" t="str">
        <f>IFERROR(__xludf.DUMMYFUNCTION("""COMPUTED_VALUE"""),"#N/A")</f>
        <v>#N/A</v>
      </c>
    </row>
    <row r="948" ht="15.75" customHeight="1">
      <c r="E948" s="1" t="str">
        <f>IFERROR(__xludf.DUMMYFUNCTION("""COMPUTED_VALUE"""),"#N/A")</f>
        <v>#N/A</v>
      </c>
    </row>
    <row r="949" ht="15.75" customHeight="1">
      <c r="E949" s="1" t="str">
        <f>IFERROR(__xludf.DUMMYFUNCTION("""COMPUTED_VALUE"""),"#N/A")</f>
        <v>#N/A</v>
      </c>
    </row>
    <row r="950" ht="15.75" customHeight="1">
      <c r="E950" s="1" t="str">
        <f>IFERROR(__xludf.DUMMYFUNCTION("""COMPUTED_VALUE"""),"#N/A")</f>
        <v>#N/A</v>
      </c>
    </row>
    <row r="951" ht="15.75" customHeight="1">
      <c r="E951" s="1" t="str">
        <f>IFERROR(__xludf.DUMMYFUNCTION("""COMPUTED_VALUE"""),"#N/A")</f>
        <v>#N/A</v>
      </c>
    </row>
    <row r="952" ht="15.75" customHeight="1">
      <c r="E952" s="1" t="str">
        <f>IFERROR(__xludf.DUMMYFUNCTION("""COMPUTED_VALUE"""),"#N/A")</f>
        <v>#N/A</v>
      </c>
    </row>
    <row r="953" ht="15.75" customHeight="1">
      <c r="E953" s="1" t="str">
        <f>IFERROR(__xludf.DUMMYFUNCTION("""COMPUTED_VALUE"""),"#N/A")</f>
        <v>#N/A</v>
      </c>
    </row>
    <row r="954" ht="15.75" customHeight="1">
      <c r="E954" s="1" t="str">
        <f>IFERROR(__xludf.DUMMYFUNCTION("""COMPUTED_VALUE"""),"#N/A")</f>
        <v>#N/A</v>
      </c>
    </row>
    <row r="955" ht="15.75" customHeight="1">
      <c r="E955" s="1" t="str">
        <f>IFERROR(__xludf.DUMMYFUNCTION("""COMPUTED_VALUE"""),"#N/A")</f>
        <v>#N/A</v>
      </c>
    </row>
    <row r="956" ht="15.75" customHeight="1">
      <c r="E956" s="1" t="str">
        <f>IFERROR(__xludf.DUMMYFUNCTION("""COMPUTED_VALUE"""),"#N/A")</f>
        <v>#N/A</v>
      </c>
    </row>
    <row r="957" ht="15.75" customHeight="1">
      <c r="E957" s="1" t="str">
        <f>IFERROR(__xludf.DUMMYFUNCTION("""COMPUTED_VALUE"""),"#N/A")</f>
        <v>#N/A</v>
      </c>
    </row>
    <row r="958" ht="15.75" customHeight="1">
      <c r="E958" s="1" t="str">
        <f>IFERROR(__xludf.DUMMYFUNCTION("""COMPUTED_VALUE"""),"#N/A")</f>
        <v>#N/A</v>
      </c>
    </row>
    <row r="959" ht="15.75" customHeight="1">
      <c r="E959" s="1" t="str">
        <f>IFERROR(__xludf.DUMMYFUNCTION("""COMPUTED_VALUE"""),"#N/A")</f>
        <v>#N/A</v>
      </c>
    </row>
    <row r="960" ht="15.75" customHeight="1">
      <c r="E960" s="1" t="str">
        <f>IFERROR(__xludf.DUMMYFUNCTION("""COMPUTED_VALUE"""),"#N/A")</f>
        <v>#N/A</v>
      </c>
    </row>
    <row r="961" ht="15.75" customHeight="1">
      <c r="E961" s="1" t="str">
        <f>IFERROR(__xludf.DUMMYFUNCTION("""COMPUTED_VALUE"""),"#N/A")</f>
        <v>#N/A</v>
      </c>
    </row>
    <row r="962" ht="15.75" customHeight="1">
      <c r="E962" s="1" t="str">
        <f>IFERROR(__xludf.DUMMYFUNCTION("""COMPUTED_VALUE"""),"#N/A")</f>
        <v>#N/A</v>
      </c>
    </row>
    <row r="963" ht="15.75" customHeight="1">
      <c r="E963" s="1" t="str">
        <f>IFERROR(__xludf.DUMMYFUNCTION("""COMPUTED_VALUE"""),"#N/A")</f>
        <v>#N/A</v>
      </c>
    </row>
    <row r="964" ht="15.75" customHeight="1">
      <c r="E964" s="1" t="str">
        <f>IFERROR(__xludf.DUMMYFUNCTION("""COMPUTED_VALUE"""),"#N/A")</f>
        <v>#N/A</v>
      </c>
    </row>
    <row r="965" ht="15.75" customHeight="1">
      <c r="E965" s="1" t="str">
        <f>IFERROR(__xludf.DUMMYFUNCTION("""COMPUTED_VALUE"""),"#N/A")</f>
        <v>#N/A</v>
      </c>
    </row>
    <row r="966" ht="15.75" customHeight="1">
      <c r="E966" s="1" t="str">
        <f>IFERROR(__xludf.DUMMYFUNCTION("""COMPUTED_VALUE"""),"#N/A")</f>
        <v>#N/A</v>
      </c>
    </row>
    <row r="967" ht="15.75" customHeight="1">
      <c r="E967" s="1" t="str">
        <f>IFERROR(__xludf.DUMMYFUNCTION("""COMPUTED_VALUE"""),"#N/A")</f>
        <v>#N/A</v>
      </c>
    </row>
    <row r="968" ht="15.75" customHeight="1">
      <c r="E968" s="1" t="str">
        <f>IFERROR(__xludf.DUMMYFUNCTION("""COMPUTED_VALUE"""),"#N/A")</f>
        <v>#N/A</v>
      </c>
    </row>
    <row r="969" ht="15.75" customHeight="1">
      <c r="E969" s="1" t="str">
        <f>IFERROR(__xludf.DUMMYFUNCTION("""COMPUTED_VALUE"""),"#N/A")</f>
        <v>#N/A</v>
      </c>
    </row>
    <row r="970" ht="15.75" customHeight="1">
      <c r="E970" s="1" t="str">
        <f>IFERROR(__xludf.DUMMYFUNCTION("""COMPUTED_VALUE"""),"#N/A")</f>
        <v>#N/A</v>
      </c>
    </row>
    <row r="971" ht="15.75" customHeight="1">
      <c r="E971" s="1" t="str">
        <f>IFERROR(__xludf.DUMMYFUNCTION("""COMPUTED_VALUE"""),"#N/A")</f>
        <v>#N/A</v>
      </c>
    </row>
    <row r="972" ht="15.75" customHeight="1">
      <c r="E972" s="1" t="str">
        <f>IFERROR(__xludf.DUMMYFUNCTION("""COMPUTED_VALUE"""),"#N/A")</f>
        <v>#N/A</v>
      </c>
    </row>
    <row r="973" ht="15.75" customHeight="1">
      <c r="E973" s="1" t="str">
        <f>IFERROR(__xludf.DUMMYFUNCTION("""COMPUTED_VALUE"""),"#N/A")</f>
        <v>#N/A</v>
      </c>
    </row>
    <row r="974" ht="15.75" customHeight="1">
      <c r="E974" s="1" t="str">
        <f>IFERROR(__xludf.DUMMYFUNCTION("""COMPUTED_VALUE"""),"#N/A")</f>
        <v>#N/A</v>
      </c>
    </row>
    <row r="975" ht="15.75" customHeight="1">
      <c r="E975" s="1" t="str">
        <f>IFERROR(__xludf.DUMMYFUNCTION("""COMPUTED_VALUE"""),"#N/A")</f>
        <v>#N/A</v>
      </c>
    </row>
    <row r="976" ht="15.75" customHeight="1">
      <c r="E976" s="1" t="str">
        <f>IFERROR(__xludf.DUMMYFUNCTION("""COMPUTED_VALUE"""),"#N/A")</f>
        <v>#N/A</v>
      </c>
    </row>
    <row r="977" ht="15.75" customHeight="1">
      <c r="E977" s="1" t="str">
        <f>IFERROR(__xludf.DUMMYFUNCTION("""COMPUTED_VALUE"""),"#N/A")</f>
        <v>#N/A</v>
      </c>
    </row>
    <row r="978" ht="15.75" customHeight="1">
      <c r="E978" s="1" t="str">
        <f>IFERROR(__xludf.DUMMYFUNCTION("""COMPUTED_VALUE"""),"#N/A")</f>
        <v>#N/A</v>
      </c>
    </row>
    <row r="979" ht="15.75" customHeight="1">
      <c r="E979" s="1" t="str">
        <f>IFERROR(__xludf.DUMMYFUNCTION("""COMPUTED_VALUE"""),"#N/A")</f>
        <v>#N/A</v>
      </c>
    </row>
    <row r="980" ht="15.75" customHeight="1">
      <c r="E980" s="1" t="str">
        <f>IFERROR(__xludf.DUMMYFUNCTION("""COMPUTED_VALUE"""),"#N/A")</f>
        <v>#N/A</v>
      </c>
    </row>
    <row r="981" ht="15.75" customHeight="1">
      <c r="E981" s="1" t="str">
        <f>IFERROR(__xludf.DUMMYFUNCTION("""COMPUTED_VALUE"""),"#N/A")</f>
        <v>#N/A</v>
      </c>
    </row>
    <row r="982" ht="15.75" customHeight="1">
      <c r="E982" s="1" t="str">
        <f>IFERROR(__xludf.DUMMYFUNCTION("""COMPUTED_VALUE"""),"#N/A")</f>
        <v>#N/A</v>
      </c>
    </row>
    <row r="983" ht="15.75" customHeight="1">
      <c r="E983" s="1" t="str">
        <f>IFERROR(__xludf.DUMMYFUNCTION("""COMPUTED_VALUE"""),"#N/A")</f>
        <v>#N/A</v>
      </c>
    </row>
    <row r="984" ht="15.75" customHeight="1">
      <c r="E984" s="1" t="str">
        <f>IFERROR(__xludf.DUMMYFUNCTION("""COMPUTED_VALUE"""),"#N/A")</f>
        <v>#N/A</v>
      </c>
    </row>
    <row r="985" ht="15.75" customHeight="1">
      <c r="E985" s="1" t="str">
        <f>IFERROR(__xludf.DUMMYFUNCTION("""COMPUTED_VALUE"""),"#N/A")</f>
        <v>#N/A</v>
      </c>
    </row>
    <row r="986" ht="15.75" customHeight="1">
      <c r="E986" s="1" t="str">
        <f>IFERROR(__xludf.DUMMYFUNCTION("""COMPUTED_VALUE"""),"#N/A")</f>
        <v>#N/A</v>
      </c>
    </row>
    <row r="987" ht="15.75" customHeight="1">
      <c r="E987" s="1" t="str">
        <f>IFERROR(__xludf.DUMMYFUNCTION("""COMPUTED_VALUE"""),"#N/A")</f>
        <v>#N/A</v>
      </c>
    </row>
    <row r="988" ht="15.75" customHeight="1">
      <c r="E988" s="1" t="str">
        <f>IFERROR(__xludf.DUMMYFUNCTION("""COMPUTED_VALUE"""),"#N/A")</f>
        <v>#N/A</v>
      </c>
    </row>
    <row r="989" ht="15.75" customHeight="1">
      <c r="E989" s="1" t="str">
        <f>IFERROR(__xludf.DUMMYFUNCTION("""COMPUTED_VALUE"""),"#N/A")</f>
        <v>#N/A</v>
      </c>
    </row>
    <row r="990" ht="15.75" customHeight="1">
      <c r="E990" s="1" t="str">
        <f>IFERROR(__xludf.DUMMYFUNCTION("""COMPUTED_VALUE"""),"#N/A")</f>
        <v>#N/A</v>
      </c>
    </row>
    <row r="991" ht="15.75" customHeight="1">
      <c r="E991" s="1" t="str">
        <f>IFERROR(__xludf.DUMMYFUNCTION("""COMPUTED_VALUE"""),"#N/A")</f>
        <v>#N/A</v>
      </c>
    </row>
    <row r="992" ht="15.75" customHeight="1">
      <c r="E992" s="1" t="str">
        <f>IFERROR(__xludf.DUMMYFUNCTION("""COMPUTED_VALUE"""),"#N/A")</f>
        <v>#N/A</v>
      </c>
    </row>
    <row r="993" ht="15.75" customHeight="1">
      <c r="E993" s="1" t="str">
        <f>IFERROR(__xludf.DUMMYFUNCTION("""COMPUTED_VALUE"""),"#N/A")</f>
        <v>#N/A</v>
      </c>
    </row>
    <row r="994" ht="15.75" customHeight="1">
      <c r="E994" s="1" t="str">
        <f>IFERROR(__xludf.DUMMYFUNCTION("""COMPUTED_VALUE"""),"#N/A")</f>
        <v>#N/A</v>
      </c>
    </row>
    <row r="995" ht="15.75" customHeight="1">
      <c r="E995" s="1" t="str">
        <f>IFERROR(__xludf.DUMMYFUNCTION("""COMPUTED_VALUE"""),"#N/A")</f>
        <v>#N/A</v>
      </c>
    </row>
    <row r="996" ht="15.75" customHeight="1">
      <c r="E996" s="1" t="str">
        <f>IFERROR(__xludf.DUMMYFUNCTION("""COMPUTED_VALUE"""),"#N/A")</f>
        <v>#N/A</v>
      </c>
    </row>
    <row r="997" ht="15.75" customHeight="1">
      <c r="E997" s="1" t="str">
        <f>IFERROR(__xludf.DUMMYFUNCTION("""COMPUTED_VALUE"""),"#N/A")</f>
        <v>#N/A</v>
      </c>
    </row>
    <row r="998" ht="15.75" customHeight="1">
      <c r="E998" s="1" t="str">
        <f>IFERROR(__xludf.DUMMYFUNCTION("""COMPUTED_VALUE"""),"#N/A")</f>
        <v>#N/A</v>
      </c>
    </row>
    <row r="999" ht="15.75" customHeight="1">
      <c r="E999" s="1" t="str">
        <f>IFERROR(__xludf.DUMMYFUNCTION("""COMPUTED_VALUE"""),"#N/A")</f>
        <v>#N/A</v>
      </c>
    </row>
    <row r="1000" ht="15.75" customHeight="1">
      <c r="E1000" s="1" t="str">
        <f>IFERROR(__xludf.DUMMYFUNCTION("""COMPUTED_VALUE"""),"#N/A")</f>
        <v>#N/A</v>
      </c>
    </row>
  </sheetData>
  <drawing r:id="rId1"/>
</worksheet>
</file>