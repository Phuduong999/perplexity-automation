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12 (Re-Check)" sheetId="1" r:id="rId4"/>
  </sheets>
  <definedNames>
    <definedName hidden="1" localSheetId="0" name="_xlnm._FilterDatabase">'Food Exclusion - 12 (Re-Check)'!$A$1:$Z$1000</definedName>
  </definedNames>
  <calcPr/>
</workbook>
</file>

<file path=xl/sharedStrings.xml><?xml version="1.0" encoding="utf-8"?>
<sst xmlns="http://schemas.openxmlformats.org/spreadsheetml/2006/main" count="1515" uniqueCount="486">
  <si>
    <t>_id</t>
  </si>
  <si>
    <t>Status</t>
  </si>
  <si>
    <t>name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</si>
  <si>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</si>
  <si>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</si>
  <si>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</si>
  <si>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</si>
  <si>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</si>
  <si>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</si>
  <si>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</si>
  <si>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</si>
  <si>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</si>
  <si>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6890363f0f436689de29ddbe</t>
  </si>
  <si>
    <t>REVIEW</t>
  </si>
  <si>
    <t>OK</t>
  </si>
  <si>
    <t>Uncle Tobys Chewy Muesli Bar Choc Chip</t>
  </si>
  <si>
    <t>Dairy</t>
  </si>
  <si>
    <t>Wheat, Gluten-Free Grains</t>
  </si>
  <si>
    <t>Soy</t>
  </si>
  <si>
    <t>Sweeteners</t>
  </si>
  <si>
    <t>6890363f0f436689de29ddbf</t>
  </si>
  <si>
    <t>Uncle Tobys Protein Muesli Bar Caramel Flavoured Dark Choc</t>
  </si>
  <si>
    <t>Gluten-Free Grains, Wheat</t>
  </si>
  <si>
    <t>6890363f0f436689de29ddc0</t>
  </si>
  <si>
    <t xml:space="preserve">Uncle Tobys Rolled Oats Ancient Grains Rye, Puffed Quinoa &amp; Millet </t>
  </si>
  <si>
    <t>6890363f0f436689de29ddc1</t>
  </si>
  <si>
    <t>Uncle Tobys Traditional Rolled Oats</t>
  </si>
  <si>
    <t>6890363f0f436689de29ddc2</t>
  </si>
  <si>
    <t>Vegemite</t>
  </si>
  <si>
    <t>Wheat</t>
  </si>
  <si>
    <t>Dried Herbs &amp; Spices</t>
  </si>
  <si>
    <t>6890363f0f436689de29ddc3</t>
  </si>
  <si>
    <t>Venerdi Gluten Freedom Classic Sourdough Bagels</t>
  </si>
  <si>
    <t>Gluten-Free Grains</t>
  </si>
  <si>
    <t>Other</t>
  </si>
  <si>
    <t>6890363f0f436689de29ddc4</t>
  </si>
  <si>
    <t xml:space="preserve">Very Lazy Smokey Chilli Boost </t>
  </si>
  <si>
    <t>Spicy, Dried Herbs &amp; Spices</t>
  </si>
  <si>
    <t>6890363f0f436689de29ddc5</t>
  </si>
  <si>
    <t>Vetta Smart Fibre Spaghetti</t>
  </si>
  <si>
    <t>6890363f0f436689de29ddc6</t>
  </si>
  <si>
    <t>Walkers Oven Baked Cheese &amp; Onion Crisps</t>
  </si>
  <si>
    <t>Potatoes</t>
  </si>
  <si>
    <t>6890363f0f436689de29ddc7</t>
  </si>
  <si>
    <t>Well &amp; Good Gluten Free Plain Flour</t>
  </si>
  <si>
    <t>6890363f0f436689de29ddc8</t>
  </si>
  <si>
    <t>WellTech Nutrition Complete 100% Whey Chocolate Milkshake</t>
  </si>
  <si>
    <t>6890363f0f436689de29ddc9</t>
  </si>
  <si>
    <t>Wokka Udon Noodles</t>
  </si>
  <si>
    <t>Wheat, Corn</t>
  </si>
  <si>
    <t>6890363f0f436689de29ddca</t>
  </si>
  <si>
    <t>Wonder Wholegrain Smooth White Bread</t>
  </si>
  <si>
    <t>6890363f0f436689de29ddcb</t>
  </si>
  <si>
    <t>Woolworths Beef Brisket</t>
  </si>
  <si>
    <t>Beef</t>
  </si>
  <si>
    <t>6890363f0f436689de29ddcc</t>
  </si>
  <si>
    <t xml:space="preserve">Woolworths Belgian Chocolate Lava Cake </t>
  </si>
  <si>
    <t>Eggs, Dairy</t>
  </si>
  <si>
    <t>6890363f0f436689de29ddcd</t>
  </si>
  <si>
    <t>Woolworths Carrots, Peas &amp; Corn</t>
  </si>
  <si>
    <t>6890363f0f436689de29ddce</t>
  </si>
  <si>
    <t>Woolworths Chicken Tenderloins In Lemon &amp; Garlic Marinade</t>
  </si>
  <si>
    <t>Chicken</t>
  </si>
  <si>
    <t>Corn</t>
  </si>
  <si>
    <t>Alliums</t>
  </si>
  <si>
    <t>Citrus</t>
  </si>
  <si>
    <t>6890363f0f436689de29ddcf</t>
  </si>
  <si>
    <t xml:space="preserve">Woolworths Crushed Chilli </t>
  </si>
  <si>
    <t>6890363f0f436689de29ddd0</t>
  </si>
  <si>
    <t xml:space="preserve">Woolworths Extra Large Free Range Eggs </t>
  </si>
  <si>
    <t>Eggs</t>
  </si>
  <si>
    <t>6890363f0f436689de29ddd1</t>
  </si>
  <si>
    <t>Review</t>
  </si>
  <si>
    <t>Woolworths Finely Shredded Coleslaw</t>
  </si>
  <si>
    <t>6890363f0f436689de29ddd2</t>
  </si>
  <si>
    <t>Woolworths Frozen Basa Fillets</t>
  </si>
  <si>
    <t>Fish</t>
  </si>
  <si>
    <t>6890363f0f436689de29ddd3</t>
  </si>
  <si>
    <t>Woolworths Heart Smart Extra Lean Beef Stir Fry</t>
  </si>
  <si>
    <t>6890363f0f436689de29ddd4</t>
  </si>
  <si>
    <t>Woolworths Japanese Style Slaw Kit</t>
  </si>
  <si>
    <t>Soy, Tree Nuts</t>
  </si>
  <si>
    <t>6890363f0f436689de29ddd5</t>
  </si>
  <si>
    <t xml:space="preserve">Woolworths Kale Slaw Kit </t>
  </si>
  <si>
    <t>Dairy, Eggs</t>
  </si>
  <si>
    <t>Tree Nuts</t>
  </si>
  <si>
    <t>6890363f0f436689de29ddd6</t>
  </si>
  <si>
    <t>Woolworths Lean Beef Mince</t>
  </si>
  <si>
    <t>6890363f0f436689de29ddd7</t>
  </si>
  <si>
    <t>Woolworths Lean Pork Mince</t>
  </si>
  <si>
    <t>Pork</t>
  </si>
  <si>
    <t>6890363f0f436689de29ddd8</t>
  </si>
  <si>
    <t>Woolworths Natural Greek Style Yoghurt</t>
  </si>
  <si>
    <t>6890363f0f436689de29ddd9</t>
  </si>
  <si>
    <t>Woolworths Pear In Juice</t>
  </si>
  <si>
    <t>6890363f0f436689de29ddda</t>
  </si>
  <si>
    <t>Woolworths Sesame &amp; Cracked Pepper Wafer Crackers</t>
  </si>
  <si>
    <t>6890363f0f436689de29dddb</t>
  </si>
  <si>
    <t>Woolworths Shredded Coconut</t>
  </si>
  <si>
    <t>6890363f0f436689de29dddc</t>
  </si>
  <si>
    <t>Woolworths Shredded Roast Chicken</t>
  </si>
  <si>
    <t>6890363f0f436689de29dddd</t>
  </si>
  <si>
    <t>Woolworths Skim Long Life Milk UHT</t>
  </si>
  <si>
    <t>6890363f0f436689de29ddde</t>
  </si>
  <si>
    <t>Woolworths Sourdough Vienna White Loaf</t>
  </si>
  <si>
    <t>6890363f0f436689de29dddf</t>
  </si>
  <si>
    <t>Woolworths Spreadable Light Cream Cheese</t>
  </si>
  <si>
    <t>6890363f0f436689de29dde0</t>
  </si>
  <si>
    <t>Woolworths Whole Egg Mayonnaise</t>
  </si>
  <si>
    <t>6890363f0f436689de29dde1</t>
  </si>
  <si>
    <t xml:space="preserve">Woolworths Wholemeal Rolls </t>
  </si>
  <si>
    <t>689035df362cb6d6d916ab82</t>
  </si>
  <si>
    <t>365 By Whole Foods Market Organic Brown Rice Crisps Cereal</t>
  </si>
  <si>
    <t>689035df362cb6d6d916ab83</t>
  </si>
  <si>
    <t>Abe's The Sesame Bagels</t>
  </si>
  <si>
    <t>689035df362cb6d6d916ab84</t>
  </si>
  <si>
    <t>Aeroplane Jelly Lite Watermelon</t>
  </si>
  <si>
    <t>689035df362cb6d6d916ab85</t>
  </si>
  <si>
    <t>Anchor Cottage Cheese &amp; Chives</t>
  </si>
  <si>
    <t>689035df362cb6d6d916ab86</t>
  </si>
  <si>
    <t>Anchor Protein Caramel Greek Yoghurt</t>
  </si>
  <si>
    <t>689035df362cb6d6d916ab87</t>
  </si>
  <si>
    <t>Ardmona Apricot Nectar Fruit Drink</t>
  </si>
  <si>
    <t>689035df362cb6d6d916ab88</t>
  </si>
  <si>
    <t>Ardmona Crushed Tomatoes</t>
  </si>
  <si>
    <t>Nightshades</t>
  </si>
  <si>
    <t>689035df362cb6d6d916ab89</t>
  </si>
  <si>
    <t>Arla Protein Salted Caramel Yogurt</t>
  </si>
  <si>
    <t>689035df362cb6d6d916ab8a</t>
  </si>
  <si>
    <t>Arla Protein Strawberry Yogurt</t>
  </si>
  <si>
    <t>689035df362cb6d6d916ab8b</t>
  </si>
  <si>
    <t>Arnott's Cruskits Light Crispbreads</t>
  </si>
  <si>
    <t>689035df362cb6d6d916ab8c</t>
  </si>
  <si>
    <t>Arnott's Salada Original Crispbreads</t>
  </si>
  <si>
    <t>689035df362cb6d6d916ab8d</t>
  </si>
  <si>
    <t>ATP Science Noway Collagen Protein Chocolate</t>
  </si>
  <si>
    <t>689035df362cb6d6d916ab8e</t>
  </si>
  <si>
    <t>Banza Spaghetti</t>
  </si>
  <si>
    <t>689035df362cb6d6d916ab90</t>
  </si>
  <si>
    <t>Be Good To Yourself Caesar Salad Dressing</t>
  </si>
  <si>
    <t>689035df362cb6d6d916ab91</t>
  </si>
  <si>
    <t>Belvita Cocoa With Choc Chips Breakfast Biscuits</t>
  </si>
  <si>
    <t>Tree Nuts, Soy</t>
  </si>
  <si>
    <t>689035df362cb6d6d916ab93</t>
  </si>
  <si>
    <t>Bertolli Air Fryer Cooking Olive Oil Spray</t>
  </si>
  <si>
    <t>689035df362cb6d6d916ab94</t>
  </si>
  <si>
    <t>Bertolli d’Italia Alfredo Sauce</t>
  </si>
  <si>
    <t>689035df362cb6d6d916ab95</t>
  </si>
  <si>
    <t>Best Foods Light Mayonnaise</t>
  </si>
  <si>
    <t>689035df362cb6d6d916ab96</t>
  </si>
  <si>
    <t>Birch &amp; Waite Honey Mustard Dressing &amp; Sauce</t>
  </si>
  <si>
    <t>689035df362cb6d6d916ab97</t>
  </si>
  <si>
    <t>Birch Benders Complete Protein Pancake &amp; Waffle Mix</t>
  </si>
  <si>
    <t>689035df362cb6d6d916ab98</t>
  </si>
  <si>
    <t>Birds Eye Snap Frozen Baby Beans, Carrot Corn &amp; Broccoli</t>
  </si>
  <si>
    <t>689035df362cb6d6d916ab99</t>
  </si>
  <si>
    <t>Bolthouse Farms Cilantro Avocado Yogurt Dressing &amp; Dip</t>
  </si>
  <si>
    <t>689035df362cb6d6d916ab9a</t>
  </si>
  <si>
    <t>Brazil Nuts</t>
  </si>
  <si>
    <t>689035df362cb6d6d916ab9b</t>
  </si>
  <si>
    <t>Breakstone’s 4% Milkfat Small Curd Cottage Cheese</t>
  </si>
  <si>
    <t>689035df362cb6d6d916ab9c</t>
  </si>
  <si>
    <t>Brennans Be Good White Bread</t>
  </si>
  <si>
    <t>689035df362cb6d6d916ab9d</t>
  </si>
  <si>
    <t>Brennans Be Good Wholemeal Bread</t>
  </si>
  <si>
    <t>689035df362cb6d6d916ab9e</t>
  </si>
  <si>
    <t>BSC High Protein Low Carb Bar Cookie Dough</t>
  </si>
  <si>
    <t>Soy, Tree Nuts, Peanuts</t>
  </si>
  <si>
    <t>689035df362cb6d6d916ab9f</t>
  </si>
  <si>
    <t>Bulk Beef Protein Isolate 97 Chocolate</t>
  </si>
  <si>
    <t>689035df362cb6d6d916aba0</t>
  </si>
  <si>
    <t>Bulla High Protein Cottage Cheese Onion &amp; Chives</t>
  </si>
  <si>
    <t>689035df362cb6d6d916aba1</t>
  </si>
  <si>
    <t>Bulla Light Thickened Cooking Cream</t>
  </si>
  <si>
    <t>689035df362cb6d6d916aba2</t>
  </si>
  <si>
    <t>Bulla Splits Lemon-Lime Raspberry Mango</t>
  </si>
  <si>
    <t>689035df362cb6d6d916aba3</t>
  </si>
  <si>
    <t>Cadbury Baking Cocoa Bournville</t>
  </si>
  <si>
    <t>689035df362cb6d6d916aba4</t>
  </si>
  <si>
    <t>Cadbury Curly Wurly Chocolate Bar</t>
  </si>
  <si>
    <t>689035df362cb6d6d916aba5</t>
  </si>
  <si>
    <t>Cadbury Milk Chocolate Coated Hazelnuts</t>
  </si>
  <si>
    <t>689035df362cb6d6d916aba6</t>
  </si>
  <si>
    <t>Carman’s Aussie Oat Clusters Honey Crunch</t>
  </si>
  <si>
    <t>689035df362cb6d6d916aba7</t>
  </si>
  <si>
    <t>Carman’s Classic Fruit &amp; Nut Muesli Bar</t>
  </si>
  <si>
    <t>689035df362cb6d6d916aba8</t>
  </si>
  <si>
    <t>Carman’s Peanut Butter Low Carb Granola</t>
  </si>
  <si>
    <t>Gluten-Free Grains, Corn</t>
  </si>
  <si>
    <t>Peanuts, Tree Nuts</t>
  </si>
  <si>
    <t>689035df362cb6d6d916aba9</t>
  </si>
  <si>
    <t>Chai Tea</t>
  </si>
  <si>
    <t>Caffeine, Sweeteners</t>
  </si>
  <si>
    <t>689035df362cb6d6d916abaa</t>
  </si>
  <si>
    <t>Chicken Tonight Honey &amp; Mustard Cooking Sauce</t>
  </si>
  <si>
    <t>689035df362cb6d6d916abab</t>
  </si>
  <si>
    <t>Chotto Motto Crispy Chilli Oil</t>
  </si>
  <si>
    <t>689035df362cb6d6d916abac</t>
  </si>
  <si>
    <t>Cobram Estate Chilli Infused Australian Extra Virgin Olive Oil</t>
  </si>
  <si>
    <t>Corn, Gluten-Free Grains</t>
  </si>
  <si>
    <t>689035df362cb6d6d916abad</t>
  </si>
  <si>
    <t>Cocobella Protein Coconut Yoghurt Vanilla</t>
  </si>
  <si>
    <t>689035df362cb6d6d916abae</t>
  </si>
  <si>
    <t>Coles Bakery Vietnamese Rolls</t>
  </si>
  <si>
    <t>689035df362cb6d6d916abaf</t>
  </si>
  <si>
    <t>Coles Beef Chevap</t>
  </si>
  <si>
    <t>Spicy</t>
  </si>
  <si>
    <t>689035df362cb6d6d916abb0</t>
  </si>
  <si>
    <t>Coles Crushed Peanuts</t>
  </si>
  <si>
    <t>Peanuts</t>
  </si>
  <si>
    <t>689035df362cb6d6d916abb1</t>
  </si>
  <si>
    <t>Coles Dairy Vintage Cheese Slices</t>
  </si>
  <si>
    <t>689035df362cb6d6d916abb2</t>
  </si>
  <si>
    <t>Coles Lamb Leg Steak With Greek Style Marinade</t>
  </si>
  <si>
    <t>689035df362cb6d6d916abb3</t>
  </si>
  <si>
    <t>Coles Long Grain White Microwave Rice</t>
  </si>
  <si>
    <t>689035df362cb6d6d916abb4</t>
  </si>
  <si>
    <t>Coles Nutritious 7 Ancient Grains Microwave Rice</t>
  </si>
  <si>
    <t>689035df362cb6d6d916abb5</t>
  </si>
  <si>
    <t>Coles Shredded Roast Chicken Breast</t>
  </si>
  <si>
    <t>689035df362cb6d6d916abb6</t>
  </si>
  <si>
    <t>Coles Simply Hamburger Rolls</t>
  </si>
  <si>
    <t>689035df362cb6d6d916abb7</t>
  </si>
  <si>
    <t>Coles Soft White Wraps</t>
  </si>
  <si>
    <t>689035df362cb6d6d916abb8</t>
  </si>
  <si>
    <t>Crownfield High Protein Granola Honey &amp; Seed</t>
  </si>
  <si>
    <t>689035df362cb6d6d916abb9</t>
  </si>
  <si>
    <t>Cucina Matese Bolognese Pasta Sauce</t>
  </si>
  <si>
    <t>689035df362cb6d6d916abba</t>
  </si>
  <si>
    <t>Culley's Chipotle Hot Sauce</t>
  </si>
  <si>
    <t>Nightshades, Alliums</t>
  </si>
  <si>
    <t>689035df362cb6d6d916abbb</t>
  </si>
  <si>
    <t>Dairy Farmers Heart Active Light Milk</t>
  </si>
  <si>
    <t>689035df362cb6d6d916abbc</t>
  </si>
  <si>
    <t>Dave's Killer Bread Burger Buns Done Right</t>
  </si>
  <si>
    <t>689035df362cb6d6d916abbd</t>
  </si>
  <si>
    <t>Dave's Killer Bread Good Seed</t>
  </si>
  <si>
    <t>689035df362cb6d6d916abbe</t>
  </si>
  <si>
    <t>Deli Kitchen Carb Lite Wrap</t>
  </si>
  <si>
    <t>689035df362cb6d6d916abbf</t>
  </si>
  <si>
    <t>Dolmio Extra Bolognese Pasta Sauce</t>
  </si>
  <si>
    <t>689035df362cb6d6d916abc0</t>
  </si>
  <si>
    <t>Dolmio Original Bolognese Pasta Sauce</t>
  </si>
  <si>
    <t>689035df362cb6d6d916abc1</t>
  </si>
  <si>
    <t>Don Naturals Short Cut Bacon</t>
  </si>
  <si>
    <t>689035df362cb6d6d916abc2</t>
  </si>
  <si>
    <t>Dr.Oetker Madagascan Vanilla Natural Extract</t>
  </si>
  <si>
    <t>689035df362cb6d6d916abc3</t>
  </si>
  <si>
    <t>Eatlean Shredded Cheese</t>
  </si>
  <si>
    <t>689035df362cb6d6d916abc4</t>
  </si>
  <si>
    <t>Edgell Edamame Beans</t>
  </si>
  <si>
    <t>689035df362cb6d6d916abc5</t>
  </si>
  <si>
    <t>Edgell Snack Time Black Beans &amp; Charred Corn With Lime &amp; Herbs</t>
  </si>
  <si>
    <t>689035df362cb6d6d916abc6</t>
  </si>
  <si>
    <t>Edgell Snack Time Chickpeas With Olive Oil, Garlic &amp; Rosemary</t>
  </si>
  <si>
    <t>689035df362cb6d6d916abc7</t>
  </si>
  <si>
    <t>EHP Labs CREA-8 Creatine Monohydrate Powder</t>
  </si>
  <si>
    <t>689035df362cb6d6d916abc8</t>
  </si>
  <si>
    <t>EHP Labs ISOPEPT Hydrolyzed Whey Protein Vanilla Ice Cream</t>
  </si>
  <si>
    <t>689035df362cb6d6d916abc9</t>
  </si>
  <si>
    <t>Emrald Labs 100% Whey Protein Chocolate Milk</t>
  </si>
  <si>
    <t>689035df362cb6d6d916abca</t>
  </si>
  <si>
    <t>Emrald Labs 100% Whey Protein Vanilla Creme</t>
  </si>
  <si>
    <t>689035df362cb6d6d916abcb</t>
  </si>
  <si>
    <t>Emrald Labs Post Mass Vanilla Cream</t>
  </si>
  <si>
    <t>689035df362cb6d6d916abcc</t>
  </si>
  <si>
    <t>Erawan Rice Stick Noodles</t>
  </si>
  <si>
    <t>689035df362cb6d6d916abcd</t>
  </si>
  <si>
    <t>ESN Designer Flavor Powder Vanilla</t>
  </si>
  <si>
    <t>689035df362cb6d6d916abce</t>
  </si>
  <si>
    <t>Essentials Cornflour</t>
  </si>
  <si>
    <t>689035df362cb6d6d916abcf</t>
  </si>
  <si>
    <t>Essentials Self Raising Flour</t>
  </si>
  <si>
    <t>689035df362cb6d6d916abd0</t>
  </si>
  <si>
    <t>Freya’s Lower Carb 5 Seed Bread</t>
  </si>
  <si>
    <t>689035df362cb6d6d916abd1</t>
  </si>
  <si>
    <t>Frisp Choc Coated Strawberry Crisps</t>
  </si>
  <si>
    <t>689035df362cb6d6d916abd2</t>
  </si>
  <si>
    <t>FroPro Pepperoni &amp; Ham Protein Pizza</t>
  </si>
  <si>
    <t>Dairy, Pork</t>
  </si>
  <si>
    <t>689035df362cb6d6d916abd3</t>
  </si>
  <si>
    <t>Funday Fruity Gummy Koalas</t>
  </si>
  <si>
    <t>689035df362cb6d6d916abd4</t>
  </si>
  <si>
    <t>GetPro Chocolate Protein Mousse</t>
  </si>
  <si>
    <t>689035df362cb6d6d916abd5</t>
  </si>
  <si>
    <t>Gevity Rx Bone Broth Body Glue Natural Flavour</t>
  </si>
  <si>
    <t>689035df362cb6d6d916abd6</t>
  </si>
  <si>
    <t>Grenade Carb Killa Protein Bar Caramel Chaos</t>
  </si>
  <si>
    <t>689035df362cb6d6d916abd7</t>
  </si>
  <si>
    <t>Grenade Carb Killa Protein Bar Fudged Up</t>
  </si>
  <si>
    <t>689035df362cb6d6d916abd8</t>
  </si>
  <si>
    <t>Grower's Harvest Porridge Oats</t>
  </si>
  <si>
    <t>689035df362cb6d6d916abd9</t>
  </si>
  <si>
    <t>GYM BOD Chocolate Pudding Ice Cream</t>
  </si>
  <si>
    <t>689035df362cb6d6d916abda</t>
  </si>
  <si>
    <t>Hard Rated Alcoholic Lemon Zero Sugar</t>
  </si>
  <si>
    <t>Alcohol, Sweeteners</t>
  </si>
  <si>
    <t>689035df362cb6d6d916abdb</t>
  </si>
  <si>
    <t>Health Lab Cookies &amp; Creme Custard Balls</t>
  </si>
  <si>
    <t>689035df362cb6d6d916abdd</t>
  </si>
  <si>
    <t>Heinz Seriously Good Light Mayonnaise</t>
  </si>
  <si>
    <t>689035df362cb6d6d916abe3</t>
  </si>
  <si>
    <t>Holie Crunchy Muesli Chocolate</t>
  </si>
  <si>
    <t>Gluten-Free Grains, Wheat, Corn</t>
  </si>
  <si>
    <t>689035df362cb6d6d916abe4</t>
  </si>
  <si>
    <t>Kallo Organic Lightly Salted Wholegrain Low Fat Rice Cakes</t>
  </si>
  <si>
    <t>689035df362cb6d6d916abe5</t>
  </si>
  <si>
    <t>KitKat Milk Chocolate Wafer Snack Size</t>
  </si>
  <si>
    <t>6890363f0f436689de29dd7e</t>
  </si>
  <si>
    <t>Leggo's Three Cheese Sauce Pasta Bake</t>
  </si>
  <si>
    <t>6890363f0f436689de29dd81</t>
  </si>
  <si>
    <t>Moccona Freeze Dried Instant Coffee Classic Medium Roast</t>
  </si>
  <si>
    <t>Caffeine</t>
  </si>
  <si>
    <t>6890363f0f436689de29dd83</t>
  </si>
  <si>
    <t>MyProtein Clear Whey Isolate Vimto Flavour</t>
  </si>
  <si>
    <t>6890363f0f436689de29dd8d</t>
  </si>
  <si>
    <t>Old El Paso Flour Tortillas For Soft Tacos &amp; Fajitas</t>
  </si>
  <si>
    <t>6890363f0f436689de29dd93</t>
  </si>
  <si>
    <t>Optimum Nutrition Gold Standard 100% Whey Protein Vanilla Ice Cream</t>
  </si>
  <si>
    <t>6890363f0f436689de29dda0</t>
  </si>
  <si>
    <t>Reset Nutrition Collagen Protein Passionfruit</t>
  </si>
  <si>
    <t>6890363f0f436689de29dda4</t>
  </si>
  <si>
    <t>Starbucks Naturally Flavored Caramel Syrup</t>
  </si>
  <si>
    <t>6890363f0f436689de29ddaa</t>
  </si>
  <si>
    <t>TBJP Cream Of Rice Salted Caramel</t>
  </si>
  <si>
    <t>6890363f0f436689de29ddb7</t>
  </si>
  <si>
    <t>Three Threes Australian Grown Apple Sauce</t>
  </si>
  <si>
    <t>Vegan Margarine</t>
  </si>
  <si>
    <t>Non-Dairy Milk</t>
  </si>
  <si>
    <t>Low Carb Stir Fry Vegetable Mix</t>
  </si>
  <si>
    <t>Beans, Soy</t>
  </si>
  <si>
    <t>Nightshades, Cruciferous, Mushrooms</t>
  </si>
  <si>
    <t>Vegan Oyster Sauce</t>
  </si>
  <si>
    <t>Mushrooms</t>
  </si>
  <si>
    <t>Gluten-Free Wonton Wrappers</t>
  </si>
  <si>
    <t>Vegan Chocolate Chips</t>
  </si>
  <si>
    <t>Tropical Fruits</t>
  </si>
  <si>
    <t>Sweeteners, Caffeine</t>
  </si>
  <si>
    <t>Vegan Ricotta Cheese</t>
  </si>
  <si>
    <t>Unsweetened Dried Cranberry</t>
  </si>
  <si>
    <t>Berries</t>
  </si>
  <si>
    <t>Gluten-free Graham Cracker</t>
  </si>
  <si>
    <t>Gluten-Free Grains, Potatoes</t>
  </si>
  <si>
    <t>Unsweetened Plain Dairy-Free Soy Yogurt</t>
  </si>
  <si>
    <t>Pea Protein Powder</t>
  </si>
  <si>
    <t>Vegan Buttermilk</t>
  </si>
  <si>
    <t>Vegan Cottage Cheese</t>
  </si>
  <si>
    <t>Vegan Mayonnaise</t>
  </si>
  <si>
    <t>Plant-based Yogurt</t>
  </si>
  <si>
    <t>Smoked Carrot (Lox)</t>
  </si>
  <si>
    <t>Vanilla Plant-based Protein Powder</t>
  </si>
  <si>
    <t>Beans</t>
  </si>
  <si>
    <t>Vegan Worcestershire Sauce</t>
  </si>
  <si>
    <t>Buckwheat Flour</t>
  </si>
  <si>
    <t>Unsweetened Plain Almond Milk Yogurt</t>
  </si>
  <si>
    <t>Vegan Parmesan Cheese</t>
  </si>
  <si>
    <t>Non-Dairy Cheese</t>
  </si>
  <si>
    <t>Plant-Based Ground Crumble</t>
  </si>
  <si>
    <t>Vegan Creamy Mushroom Cooking Sauce</t>
  </si>
  <si>
    <t>Mushrooms, Alliums, Nightshades</t>
  </si>
  <si>
    <t>Low Fat Creamy Mushroom Cooking Sauce</t>
  </si>
  <si>
    <t>Mushrooms, Alliums</t>
  </si>
  <si>
    <t>Plant-based Ground Sausage</t>
  </si>
  <si>
    <t>Gluten-Free Creamy Mushroom Cooking Sauce</t>
  </si>
  <si>
    <t>Dairy-Free Creamy Mushroom Cooking Sauce</t>
  </si>
  <si>
    <t>Nightshades, Alliums, Mushrooms</t>
  </si>
  <si>
    <t>Vegan Swiss-style Cheese Slice</t>
  </si>
  <si>
    <t>Cruciferous</t>
  </si>
  <si>
    <t>Textured Vegetable Protein</t>
  </si>
  <si>
    <t>Gluten-Free Corn Flakes</t>
  </si>
  <si>
    <t>Dairy-Free Sour Cream</t>
  </si>
  <si>
    <t>Unsweetened Soy Milk</t>
  </si>
  <si>
    <t>Gluten-Free Hamburger Buns</t>
  </si>
  <si>
    <t>Gluten-Free Grains, Corn, Potatoes</t>
  </si>
  <si>
    <t>Crumbled Tempeh</t>
  </si>
  <si>
    <t>Gluten-free Medium Shell Pasta</t>
  </si>
  <si>
    <t>Corn, Potatoes, Gluten-Free Grains</t>
  </si>
  <si>
    <t>Seed-Free Granola</t>
  </si>
  <si>
    <t>Berries, Tropical Fruits, Stone Fruits</t>
  </si>
  <si>
    <t>Gluten-Free Rice Noodles</t>
  </si>
  <si>
    <t>Gluten-Free Grains, Potatoes, Corn</t>
  </si>
  <si>
    <t>Cashew Cream</t>
  </si>
  <si>
    <t>Unsweetened Plain Almond Yogurt</t>
  </si>
  <si>
    <t>Dairy-Free Chocolate Chips</t>
  </si>
  <si>
    <t>Gluten-free Small Seashell Pasta</t>
  </si>
  <si>
    <t>Gluten-Free Egg Noodle</t>
  </si>
  <si>
    <t>Coconut Whipped Cream</t>
  </si>
  <si>
    <t>Lactose-Free</t>
  </si>
  <si>
    <t>Vegetable Bouillon Powder</t>
  </si>
  <si>
    <t>Alliums, Mushrooms</t>
  </si>
  <si>
    <t>Sunflower Seed Milk</t>
  </si>
  <si>
    <t>Gluten-Free Oyster Sauce</t>
  </si>
  <si>
    <t>Sunflower Seed Pesto</t>
  </si>
  <si>
    <t>Fresh Herbs</t>
  </si>
  <si>
    <t>Seitan Drumstick</t>
  </si>
  <si>
    <t>Sugar-Free Dark Chocolate Chips</t>
  </si>
  <si>
    <t>Black Salt</t>
  </si>
  <si>
    <t>Cashew Cheese</t>
  </si>
  <si>
    <t>Vegan Cheese</t>
  </si>
  <si>
    <t>Low-Sodium Seafood Broth</t>
  </si>
  <si>
    <t>Fish, Shellfish</t>
  </si>
  <si>
    <t>Vanilla Pea Protein Powder</t>
  </si>
  <si>
    <t>Lentils</t>
  </si>
  <si>
    <t>Unsweetened Greek Yogurt</t>
  </si>
  <si>
    <t>Vanilla Coconut Yogurt</t>
  </si>
  <si>
    <t>Greek Yogurt Powder</t>
  </si>
  <si>
    <t>Gluten-Free Oatmeal</t>
  </si>
  <si>
    <t>Vegan Red Pesto</t>
  </si>
  <si>
    <t>Fresh Herbs, Spicy</t>
  </si>
  <si>
    <t>Vegan Blue Cheese</t>
  </si>
  <si>
    <t>Gluten-Free Quick Oat</t>
  </si>
  <si>
    <t>Plant-Based Peach Yogurt</t>
  </si>
  <si>
    <t>Stone Fruits</t>
  </si>
  <si>
    <t>Plant-Based Vanilla Yogurt</t>
  </si>
  <si>
    <t>Gluten-Free Thin Vermicelli Pasta</t>
  </si>
  <si>
    <t>Vegan Shredded Parmesan Cheese</t>
  </si>
  <si>
    <t>Whole Wheat Panko Breadcrumb</t>
  </si>
  <si>
    <t>Gluten-Free English Muffin</t>
  </si>
  <si>
    <t>Vegan Graham Cracker Pie Crust</t>
  </si>
  <si>
    <t>Almond Flour Pie Crust</t>
  </si>
  <si>
    <t>Gluten-Free Graham Cracker Pie Crust</t>
  </si>
  <si>
    <t>Vegan Vanilla Protein Powder</t>
  </si>
  <si>
    <t>Soy, Beans, Lentils</t>
  </si>
  <si>
    <t>Nut-Free Green Pesto</t>
  </si>
  <si>
    <t>Cashew-based Vegan Brie Cheese</t>
  </si>
  <si>
    <t>Vegan Chocolate Protein Powder</t>
  </si>
  <si>
    <t>Gluten-Free Pearl Couscous</t>
  </si>
  <si>
    <t>Gluten-Free Italian Breadcrumb</t>
  </si>
  <si>
    <t>Unsweetened Dried Mango</t>
  </si>
  <si>
    <t>Vanilla Soy Protein Powder</t>
  </si>
  <si>
    <t>Unsweetened Cashew Milk</t>
  </si>
  <si>
    <t>Gluten-Free Linguini</t>
  </si>
  <si>
    <t>Gluten-Free Self-Raising Flour</t>
  </si>
  <si>
    <t>Cashew Ricotta</t>
  </si>
  <si>
    <t>Vegan Power Cakes Mix</t>
  </si>
  <si>
    <t>Gluten-Free Power Cakes Mix</t>
  </si>
  <si>
    <t>Vegan Yogurt Starter Culture</t>
  </si>
  <si>
    <t>Unflavoured Vegan Protein Powder</t>
  </si>
  <si>
    <t>Erythritol Syrup</t>
  </si>
  <si>
    <t>Gluten-Free Chappati Flour</t>
  </si>
  <si>
    <t>Gluten-Free Angel Hair Pasta</t>
  </si>
  <si>
    <t>Vegan Halloumi</t>
  </si>
  <si>
    <t>King Oyster Mushroom</t>
  </si>
  <si>
    <t>Vegan Cesar Dressing</t>
  </si>
  <si>
    <t>Vegan Salad Dressing</t>
  </si>
  <si>
    <t>Aquafaba Meringue Nest</t>
  </si>
  <si>
    <t>Gluten-Free Instant Ramen</t>
  </si>
  <si>
    <t>Whole Wheat Cornbread</t>
  </si>
  <si>
    <t>Gluten-Free Old-Fashioned Oat</t>
  </si>
  <si>
    <t>Vegan Plain Instant Noodle</t>
  </si>
  <si>
    <t>Marinated Tofu</t>
  </si>
  <si>
    <t>Roasted Edamame</t>
  </si>
  <si>
    <t>Gluten-Free Whole Grain O’s Cereal</t>
  </si>
  <si>
    <t>Unsweetened Dried Mixed Berries</t>
  </si>
  <si>
    <t>Plant-based Chicken Substitute</t>
  </si>
  <si>
    <t>Soy, Beans</t>
  </si>
  <si>
    <t>Vegan Pina Colada Yogurt</t>
  </si>
  <si>
    <t>Vegan Cream of Mushroom Soup</t>
  </si>
  <si>
    <t>Orange Extract</t>
  </si>
  <si>
    <t>Sugar-Free Dark Chocolate</t>
  </si>
  <si>
    <t>Dairy-Free Orange Chocolate</t>
  </si>
  <si>
    <t>Gluten-Free Whole Grain Bread</t>
  </si>
  <si>
    <t>Cashew Cheese Sauce</t>
  </si>
  <si>
    <t>Vegan Pepper Jack Cheese</t>
  </si>
  <si>
    <t>Chipotle Tofu</t>
  </si>
  <si>
    <t>Dried Herbs &amp; Spices, Spicy</t>
  </si>
  <si>
    <t>Vegan Pepperoni</t>
  </si>
  <si>
    <t>Young Green Jackfruit</t>
  </si>
  <si>
    <t>Plant-based Mince</t>
  </si>
  <si>
    <t>Red Quinoa</t>
  </si>
  <si>
    <t>Reduced Fat Turkey Sausage</t>
  </si>
  <si>
    <t>Turkey</t>
  </si>
  <si>
    <t>Dairy-Free Cheddar Style Cheese Slice</t>
  </si>
  <si>
    <t>Nut-Free Granola</t>
  </si>
  <si>
    <t>Portobello Mushroom Cap</t>
  </si>
  <si>
    <t>Almond Flour Tortilla</t>
  </si>
  <si>
    <t>Pumpkin Seed Flour</t>
  </si>
  <si>
    <t>Gluten Free Corn Crumbs Flake</t>
  </si>
  <si>
    <t>Vegan Bacon</t>
  </si>
  <si>
    <t>Vegan Goat Cheese</t>
  </si>
  <si>
    <t>Unsalted Pumpkin Seeds</t>
  </si>
  <si>
    <t>Low-Carb Raspberry Vinaigrette Dressing</t>
  </si>
  <si>
    <t>Berries, Citrus</t>
  </si>
  <si>
    <t>Almond Bread</t>
  </si>
  <si>
    <t>Marinated Tofu Feta</t>
  </si>
  <si>
    <t>Lactose-Free, Non-Dairy Cheese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</si>
</sst>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4.38"/>
  </cols>
  <sheetData>
    <row r="1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tr">
        <f>IFERROR(__xludf.DUMMYFUNCTION("BYROW(F2:BC266, LAMBDA(r, TEXTJOIN("", "", TRUE, FILTER(r, r&lt;&gt;""""))))
"),"Dairy, Wheat, Gluten-Free Grains, Soy, Sweeteners")</f>
        <v>Dairy, Wheat, Gluten-Free Grains, Soy, Sweeteners</v>
      </c>
      <c r="F2" s="1" t="s">
        <v>16</v>
      </c>
      <c r="G2" s="1"/>
      <c r="H2" s="1" t="s">
        <v>17</v>
      </c>
      <c r="I2" s="1" t="s">
        <v>18</v>
      </c>
      <c r="J2" s="1"/>
      <c r="K2" s="1"/>
      <c r="L2" s="1"/>
      <c r="M2" s="1" t="s">
        <v>19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20</v>
      </c>
      <c r="B3" s="1" t="s">
        <v>14</v>
      </c>
      <c r="C3" s="1" t="s">
        <v>14</v>
      </c>
      <c r="D3" s="1" t="s">
        <v>21</v>
      </c>
      <c r="E3" s="1" t="str">
        <f>IFERROR(__xludf.DUMMYFUNCTION("""COMPUTED_VALUE"""),"Dairy, Gluten-Free Grains, Wheat, Soy, Sweeteners")</f>
        <v>Dairy, Gluten-Free Grains, Wheat, Soy, Sweeteners</v>
      </c>
      <c r="F3" s="1" t="s">
        <v>16</v>
      </c>
      <c r="G3" s="1"/>
      <c r="H3" s="1" t="s">
        <v>22</v>
      </c>
      <c r="I3" s="1" t="s">
        <v>18</v>
      </c>
      <c r="J3" s="1"/>
      <c r="K3" s="1"/>
      <c r="L3" s="1"/>
      <c r="M3" s="1" t="s">
        <v>19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23</v>
      </c>
      <c r="B4" s="1" t="s">
        <v>14</v>
      </c>
      <c r="C4" s="1" t="s">
        <v>14</v>
      </c>
      <c r="D4" s="1" t="s">
        <v>24</v>
      </c>
      <c r="E4" s="1" t="str">
        <f>IFERROR(__xludf.DUMMYFUNCTION("""COMPUTED_VALUE"""),"Gluten-Free Grains, Wheat")</f>
        <v>Gluten-Free Grains, Wheat</v>
      </c>
      <c r="F4" s="1"/>
      <c r="G4" s="1"/>
      <c r="H4" s="1" t="s">
        <v>22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25</v>
      </c>
      <c r="B5" s="1" t="s">
        <v>14</v>
      </c>
      <c r="C5" s="1" t="s">
        <v>14</v>
      </c>
      <c r="D5" s="1" t="s">
        <v>26</v>
      </c>
      <c r="E5" s="1" t="str">
        <f>IFERROR(__xludf.DUMMYFUNCTION("""COMPUTED_VALUE"""),"Gluten-Free Grains, Wheat")</f>
        <v>Gluten-Free Grains, Wheat</v>
      </c>
      <c r="F5" s="1"/>
      <c r="G5" s="1"/>
      <c r="H5" s="1" t="s">
        <v>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27</v>
      </c>
      <c r="B6" s="1" t="s">
        <v>13</v>
      </c>
      <c r="C6" s="1" t="s">
        <v>14</v>
      </c>
      <c r="D6" s="1" t="s">
        <v>28</v>
      </c>
      <c r="E6" s="1" t="str">
        <f>IFERROR(__xludf.DUMMYFUNCTION("""COMPUTED_VALUE"""),"Wheat, Dried Herbs &amp; Spices, Sweeteners")</f>
        <v>Wheat, Dried Herbs &amp; Spices, Sweeteners</v>
      </c>
      <c r="F6" s="1"/>
      <c r="G6" s="1"/>
      <c r="H6" s="1" t="s">
        <v>29</v>
      </c>
      <c r="I6" s="1"/>
      <c r="J6" s="1"/>
      <c r="K6" s="1"/>
      <c r="L6" s="1" t="s">
        <v>30</v>
      </c>
      <c r="M6" s="1" t="s">
        <v>19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31</v>
      </c>
      <c r="B7" s="1" t="s">
        <v>14</v>
      </c>
      <c r="C7" s="1" t="s">
        <v>14</v>
      </c>
      <c r="D7" s="1" t="s">
        <v>32</v>
      </c>
      <c r="E7" s="1" t="str">
        <f>IFERROR(__xludf.DUMMYFUNCTION("""COMPUTED_VALUE"""),"Gluten-Free Grains, Sweeteners, Other")</f>
        <v>Gluten-Free Grains, Sweeteners, Other</v>
      </c>
      <c r="F7" s="1"/>
      <c r="G7" s="1"/>
      <c r="H7" s="1" t="s">
        <v>33</v>
      </c>
      <c r="I7" s="1"/>
      <c r="J7" s="1"/>
      <c r="K7" s="1"/>
      <c r="L7" s="1"/>
      <c r="M7" s="1" t="s">
        <v>19</v>
      </c>
      <c r="N7" s="1" t="s">
        <v>34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35</v>
      </c>
      <c r="B8" s="1" t="s">
        <v>14</v>
      </c>
      <c r="C8" s="1" t="s">
        <v>14</v>
      </c>
      <c r="D8" s="1" t="s">
        <v>36</v>
      </c>
      <c r="E8" s="1" t="str">
        <f>IFERROR(__xludf.DUMMYFUNCTION("""COMPUTED_VALUE"""),"Spicy, Dried Herbs &amp; Spices, Other")</f>
        <v>Spicy, Dried Herbs &amp; Spices, Other</v>
      </c>
      <c r="F8" s="1"/>
      <c r="G8" s="1"/>
      <c r="H8" s="1"/>
      <c r="I8" s="1"/>
      <c r="J8" s="1"/>
      <c r="K8" s="1"/>
      <c r="L8" s="1" t="s">
        <v>37</v>
      </c>
      <c r="M8" s="1"/>
      <c r="N8" s="1" t="s">
        <v>34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38</v>
      </c>
      <c r="B9" s="1" t="s">
        <v>14</v>
      </c>
      <c r="C9" s="1" t="s">
        <v>14</v>
      </c>
      <c r="D9" s="1" t="s">
        <v>39</v>
      </c>
      <c r="E9" s="1" t="str">
        <f>IFERROR(__xludf.DUMMYFUNCTION("""COMPUTED_VALUE"""),"Wheat, Gluten-Free Grains")</f>
        <v>Wheat, Gluten-Free Grains</v>
      </c>
      <c r="F9" s="1"/>
      <c r="G9" s="1"/>
      <c r="H9" s="1" t="s">
        <v>17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40</v>
      </c>
      <c r="B10" s="1" t="s">
        <v>14</v>
      </c>
      <c r="C10" s="1" t="s">
        <v>14</v>
      </c>
      <c r="D10" s="1" t="s">
        <v>41</v>
      </c>
      <c r="E10" s="1" t="str">
        <f>IFERROR(__xludf.DUMMYFUNCTION("""COMPUTED_VALUE"""),"Dairy, Potatoes, Dried Herbs &amp; Spices, Sweeteners, Other")</f>
        <v>Dairy, Potatoes, Dried Herbs &amp; Spices, Sweeteners, Other</v>
      </c>
      <c r="F10" s="1" t="s">
        <v>16</v>
      </c>
      <c r="G10" s="1"/>
      <c r="H10" s="1" t="s">
        <v>42</v>
      </c>
      <c r="I10" s="1"/>
      <c r="J10" s="1"/>
      <c r="K10" s="1"/>
      <c r="L10" s="1" t="s">
        <v>30</v>
      </c>
      <c r="M10" s="1" t="s">
        <v>19</v>
      </c>
      <c r="N10" s="1" t="s">
        <v>34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43</v>
      </c>
      <c r="B11" s="1" t="s">
        <v>14</v>
      </c>
      <c r="C11" s="1" t="s">
        <v>14</v>
      </c>
      <c r="D11" s="1" t="s">
        <v>44</v>
      </c>
      <c r="E11" s="1" t="str">
        <f>IFERROR(__xludf.DUMMYFUNCTION("""COMPUTED_VALUE"""),"Gluten-Free Grains, Sweeteners, Other")</f>
        <v>Gluten-Free Grains, Sweeteners, Other</v>
      </c>
      <c r="F11" s="1"/>
      <c r="G11" s="1"/>
      <c r="H11" s="1" t="s">
        <v>33</v>
      </c>
      <c r="I11" s="1"/>
      <c r="J11" s="1"/>
      <c r="K11" s="1"/>
      <c r="L11" s="1"/>
      <c r="M11" s="1" t="s">
        <v>19</v>
      </c>
      <c r="N11" s="1" t="s">
        <v>34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45</v>
      </c>
      <c r="B12" s="1" t="s">
        <v>14</v>
      </c>
      <c r="C12" s="1" t="s">
        <v>14</v>
      </c>
      <c r="D12" s="1" t="s">
        <v>46</v>
      </c>
      <c r="E12" s="1" t="str">
        <f>IFERROR(__xludf.DUMMYFUNCTION("""COMPUTED_VALUE"""),"Dairy, Sweeteners")</f>
        <v>Dairy, Sweeteners</v>
      </c>
      <c r="F12" s="1" t="s">
        <v>16</v>
      </c>
      <c r="G12" s="1"/>
      <c r="H12" s="1"/>
      <c r="I12" s="1"/>
      <c r="J12" s="1"/>
      <c r="K12" s="1"/>
      <c r="L12" s="1"/>
      <c r="M12" s="1" t="s">
        <v>19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47</v>
      </c>
      <c r="B13" s="1" t="s">
        <v>14</v>
      </c>
      <c r="C13" s="1" t="s">
        <v>14</v>
      </c>
      <c r="D13" s="1" t="s">
        <v>48</v>
      </c>
      <c r="E13" s="1" t="str">
        <f>IFERROR(__xludf.DUMMYFUNCTION("""COMPUTED_VALUE"""),"Wheat, Corn")</f>
        <v>Wheat, Corn</v>
      </c>
      <c r="F13" s="1"/>
      <c r="G13" s="1"/>
      <c r="H13" s="1" t="s">
        <v>49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50</v>
      </c>
      <c r="B14" s="1" t="s">
        <v>14</v>
      </c>
      <c r="C14" s="1" t="s">
        <v>14</v>
      </c>
      <c r="D14" s="1" t="s">
        <v>51</v>
      </c>
      <c r="E14" s="1" t="str">
        <f>IFERROR(__xludf.DUMMYFUNCTION("""COMPUTED_VALUE"""),"Wheat, Gluten-Free Grains, Soy")</f>
        <v>Wheat, Gluten-Free Grains, Soy</v>
      </c>
      <c r="F14" s="1"/>
      <c r="G14" s="1"/>
      <c r="H14" s="1" t="s">
        <v>17</v>
      </c>
      <c r="I14" s="1" t="s">
        <v>18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52</v>
      </c>
      <c r="B15" s="1" t="s">
        <v>14</v>
      </c>
      <c r="C15" s="1" t="s">
        <v>14</v>
      </c>
      <c r="D15" s="1" t="s">
        <v>53</v>
      </c>
      <c r="E15" s="1" t="str">
        <f>IFERROR(__xludf.DUMMYFUNCTION("""COMPUTED_VALUE"""),"Beef")</f>
        <v>Beef</v>
      </c>
      <c r="F15" s="1" t="s">
        <v>54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55</v>
      </c>
      <c r="B16" s="1" t="s">
        <v>14</v>
      </c>
      <c r="C16" s="1" t="s">
        <v>14</v>
      </c>
      <c r="D16" s="1" t="s">
        <v>56</v>
      </c>
      <c r="E16" s="1" t="str">
        <f>IFERROR(__xludf.DUMMYFUNCTION("""COMPUTED_VALUE"""),"Eggs, Dairy, Wheat, Soy, Sweeteners")</f>
        <v>Eggs, Dairy, Wheat, Soy, Sweeteners</v>
      </c>
      <c r="F16" s="1" t="s">
        <v>57</v>
      </c>
      <c r="G16" s="1"/>
      <c r="H16" s="1" t="s">
        <v>29</v>
      </c>
      <c r="I16" s="1" t="s">
        <v>18</v>
      </c>
      <c r="J16" s="1"/>
      <c r="K16" s="1"/>
      <c r="L16" s="1"/>
      <c r="M16" s="1" t="s">
        <v>19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58</v>
      </c>
      <c r="B17" s="1" t="s">
        <v>14</v>
      </c>
      <c r="C17" s="1" t="s">
        <v>14</v>
      </c>
      <c r="D17" s="1" t="s">
        <v>59</v>
      </c>
      <c r="E17" s="1" t="str">
        <f>IFERROR(__xludf.DUMMYFUNCTION("""COMPUTED_VALUE"""),"#N/A")</f>
        <v>#N/A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60</v>
      </c>
      <c r="B18" s="1" t="s">
        <v>14</v>
      </c>
      <c r="C18" s="1" t="s">
        <v>14</v>
      </c>
      <c r="D18" s="1" t="s">
        <v>61</v>
      </c>
      <c r="E18" s="1" t="str">
        <f>IFERROR(__xludf.DUMMYFUNCTION("""COMPUTED_VALUE"""),"Chicken, Corn, Alliums, Citrus, Dried Herbs &amp; Spices, Sweeteners")</f>
        <v>Chicken, Corn, Alliums, Citrus, Dried Herbs &amp; Spices, Sweeteners</v>
      </c>
      <c r="F18" s="1" t="s">
        <v>62</v>
      </c>
      <c r="G18" s="1"/>
      <c r="H18" s="1" t="s">
        <v>63</v>
      </c>
      <c r="I18" s="1"/>
      <c r="J18" s="1" t="s">
        <v>64</v>
      </c>
      <c r="K18" s="1" t="s">
        <v>65</v>
      </c>
      <c r="L18" s="1" t="s">
        <v>30</v>
      </c>
      <c r="M18" s="1" t="s">
        <v>19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66</v>
      </c>
      <c r="B19" s="1" t="s">
        <v>14</v>
      </c>
      <c r="C19" s="1" t="s">
        <v>14</v>
      </c>
      <c r="D19" s="1" t="s">
        <v>67</v>
      </c>
      <c r="E19" s="1" t="str">
        <f>IFERROR(__xludf.DUMMYFUNCTION("""COMPUTED_VALUE"""),"Spicy, Dried Herbs &amp; Spices, Sweeteners")</f>
        <v>Spicy, Dried Herbs &amp; Spices, Sweeteners</v>
      </c>
      <c r="F19" s="1"/>
      <c r="G19" s="1"/>
      <c r="H19" s="1"/>
      <c r="I19" s="1"/>
      <c r="J19" s="1"/>
      <c r="K19" s="1"/>
      <c r="L19" s="1" t="s">
        <v>37</v>
      </c>
      <c r="M19" s="1" t="s">
        <v>19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68</v>
      </c>
      <c r="B20" s="1" t="s">
        <v>14</v>
      </c>
      <c r="C20" s="1" t="s">
        <v>14</v>
      </c>
      <c r="D20" s="1" t="s">
        <v>69</v>
      </c>
      <c r="E20" s="1" t="str">
        <f>IFERROR(__xludf.DUMMYFUNCTION("""COMPUTED_VALUE"""),"Eggs")</f>
        <v>Eggs</v>
      </c>
      <c r="F20" s="1" t="s">
        <v>70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71</v>
      </c>
      <c r="B21" s="1" t="s">
        <v>14</v>
      </c>
      <c r="C21" s="1" t="s">
        <v>72</v>
      </c>
      <c r="D21" s="1" t="s">
        <v>73</v>
      </c>
      <c r="E21" s="1" t="str">
        <f>IFERROR(__xludf.DUMMYFUNCTION("""COMPUTED_VALUE"""),"#N/A")</f>
        <v>#N/A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74</v>
      </c>
      <c r="B22" s="1" t="s">
        <v>14</v>
      </c>
      <c r="C22" s="1" t="s">
        <v>14</v>
      </c>
      <c r="D22" s="1" t="s">
        <v>75</v>
      </c>
      <c r="E22" s="1" t="str">
        <f>IFERROR(__xludf.DUMMYFUNCTION("""COMPUTED_VALUE"""),"Fish")</f>
        <v>Fish</v>
      </c>
      <c r="F22" s="1" t="s">
        <v>76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77</v>
      </c>
      <c r="B23" s="1" t="s">
        <v>14</v>
      </c>
      <c r="C23" s="1" t="s">
        <v>14</v>
      </c>
      <c r="D23" s="1" t="s">
        <v>78</v>
      </c>
      <c r="E23" s="1" t="str">
        <f>IFERROR(__xludf.DUMMYFUNCTION("""COMPUTED_VALUE"""),"Beef")</f>
        <v>Beef</v>
      </c>
      <c r="F23" s="1" t="s">
        <v>54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79</v>
      </c>
      <c r="B24" s="1" t="s">
        <v>14</v>
      </c>
      <c r="C24" s="1" t="s">
        <v>14</v>
      </c>
      <c r="D24" s="1" t="s">
        <v>80</v>
      </c>
      <c r="E24" s="1" t="str">
        <f>IFERROR(__xludf.DUMMYFUNCTION("""COMPUTED_VALUE"""),"Dairy, Wheat, Soy, Tree Nuts, Alliums, Sweeteners")</f>
        <v>Dairy, Wheat, Soy, Tree Nuts, Alliums, Sweeteners</v>
      </c>
      <c r="F24" s="1" t="s">
        <v>16</v>
      </c>
      <c r="G24" s="1"/>
      <c r="H24" s="1" t="s">
        <v>29</v>
      </c>
      <c r="I24" s="1" t="s">
        <v>81</v>
      </c>
      <c r="J24" s="1" t="s">
        <v>64</v>
      </c>
      <c r="K24" s="1"/>
      <c r="L24" s="1"/>
      <c r="M24" s="1" t="s">
        <v>19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82</v>
      </c>
      <c r="B25" s="1" t="s">
        <v>14</v>
      </c>
      <c r="C25" s="1" t="s">
        <v>14</v>
      </c>
      <c r="D25" s="1" t="s">
        <v>83</v>
      </c>
      <c r="E25" s="1" t="str">
        <f>IFERROR(__xludf.DUMMYFUNCTION("""COMPUTED_VALUE"""),"Dairy, Eggs, Tree Nuts, Alliums, Sweeteners")</f>
        <v>Dairy, Eggs, Tree Nuts, Alliums, Sweeteners</v>
      </c>
      <c r="F25" s="1" t="s">
        <v>84</v>
      </c>
      <c r="G25" s="1"/>
      <c r="H25" s="1"/>
      <c r="I25" s="1" t="s">
        <v>85</v>
      </c>
      <c r="J25" s="1" t="s">
        <v>64</v>
      </c>
      <c r="K25" s="1"/>
      <c r="L25" s="1"/>
      <c r="M25" s="1" t="s">
        <v>19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86</v>
      </c>
      <c r="B26" s="1" t="s">
        <v>14</v>
      </c>
      <c r="C26" s="1" t="s">
        <v>14</v>
      </c>
      <c r="D26" s="1" t="s">
        <v>87</v>
      </c>
      <c r="E26" s="1" t="str">
        <f>IFERROR(__xludf.DUMMYFUNCTION("""COMPUTED_VALUE"""),"Beef")</f>
        <v>Beef</v>
      </c>
      <c r="F26" s="1" t="s">
        <v>54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88</v>
      </c>
      <c r="B27" s="1" t="s">
        <v>14</v>
      </c>
      <c r="C27" s="1" t="s">
        <v>14</v>
      </c>
      <c r="D27" s="1" t="s">
        <v>89</v>
      </c>
      <c r="E27" s="1" t="str">
        <f>IFERROR(__xludf.DUMMYFUNCTION("""COMPUTED_VALUE"""),"Pork")</f>
        <v>Pork</v>
      </c>
      <c r="F27" s="1" t="s">
        <v>90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91</v>
      </c>
      <c r="B28" s="1" t="s">
        <v>14</v>
      </c>
      <c r="C28" s="1" t="s">
        <v>14</v>
      </c>
      <c r="D28" s="1" t="s">
        <v>92</v>
      </c>
      <c r="E28" s="1" t="str">
        <f>IFERROR(__xludf.DUMMYFUNCTION("""COMPUTED_VALUE"""),"Dairy")</f>
        <v>Dairy</v>
      </c>
      <c r="F28" s="1" t="s">
        <v>16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93</v>
      </c>
      <c r="B29" s="1" t="s">
        <v>13</v>
      </c>
      <c r="C29" s="1" t="s">
        <v>14</v>
      </c>
      <c r="D29" s="1" t="s">
        <v>94</v>
      </c>
      <c r="E29" s="1" t="str">
        <f>IFERROR(__xludf.DUMMYFUNCTION("""COMPUTED_VALUE"""),"#N/A")</f>
        <v>#N/A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95</v>
      </c>
      <c r="B30" s="1" t="s">
        <v>14</v>
      </c>
      <c r="C30" s="1" t="s">
        <v>14</v>
      </c>
      <c r="D30" s="1" t="s">
        <v>96</v>
      </c>
      <c r="E30" s="1" t="str">
        <f>IFERROR(__xludf.DUMMYFUNCTION("""COMPUTED_VALUE"""),"Wheat")</f>
        <v>Wheat</v>
      </c>
      <c r="F30" s="1"/>
      <c r="G30" s="1"/>
      <c r="H30" s="1" t="s">
        <v>29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97</v>
      </c>
      <c r="B31" s="1" t="s">
        <v>14</v>
      </c>
      <c r="C31" s="1" t="s">
        <v>14</v>
      </c>
      <c r="D31" s="1" t="s">
        <v>98</v>
      </c>
      <c r="E31" s="1" t="str">
        <f>IFERROR(__xludf.DUMMYFUNCTION("""COMPUTED_VALUE"""),"#N/A")</f>
        <v>#N/A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99</v>
      </c>
      <c r="B32" s="1" t="s">
        <v>14</v>
      </c>
      <c r="C32" s="1" t="s">
        <v>14</v>
      </c>
      <c r="D32" s="1" t="s">
        <v>100</v>
      </c>
      <c r="E32" s="1" t="str">
        <f>IFERROR(__xludf.DUMMYFUNCTION("""COMPUTED_VALUE"""),"Chicken, Wheat, Alliums, Dried Herbs &amp; Spices, Sweeteners")</f>
        <v>Chicken, Wheat, Alliums, Dried Herbs &amp; Spices, Sweeteners</v>
      </c>
      <c r="F32" s="1" t="s">
        <v>62</v>
      </c>
      <c r="G32" s="1"/>
      <c r="H32" s="1" t="s">
        <v>29</v>
      </c>
      <c r="I32" s="1"/>
      <c r="J32" s="1" t="s">
        <v>64</v>
      </c>
      <c r="K32" s="1"/>
      <c r="L32" s="1" t="s">
        <v>30</v>
      </c>
      <c r="M32" s="1" t="s">
        <v>19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101</v>
      </c>
      <c r="B33" s="1" t="s">
        <v>14</v>
      </c>
      <c r="C33" s="1" t="s">
        <v>14</v>
      </c>
      <c r="D33" s="1" t="s">
        <v>102</v>
      </c>
      <c r="E33" s="1" t="str">
        <f>IFERROR(__xludf.DUMMYFUNCTION("""COMPUTED_VALUE"""),"Dairy")</f>
        <v>Dairy</v>
      </c>
      <c r="F33" s="1" t="s">
        <v>16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103</v>
      </c>
      <c r="B34" s="1" t="s">
        <v>14</v>
      </c>
      <c r="C34" s="1" t="s">
        <v>14</v>
      </c>
      <c r="D34" s="1" t="s">
        <v>104</v>
      </c>
      <c r="E34" s="1" t="str">
        <f>IFERROR(__xludf.DUMMYFUNCTION("""COMPUTED_VALUE"""),"Wheat")</f>
        <v>Wheat</v>
      </c>
      <c r="F34" s="1"/>
      <c r="G34" s="1"/>
      <c r="H34" s="1" t="s">
        <v>29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105</v>
      </c>
      <c r="B35" s="1" t="s">
        <v>14</v>
      </c>
      <c r="C35" s="1" t="s">
        <v>14</v>
      </c>
      <c r="D35" s="1" t="s">
        <v>106</v>
      </c>
      <c r="E35" s="1" t="str">
        <f>IFERROR(__xludf.DUMMYFUNCTION("""COMPUTED_VALUE"""),"Dairy")</f>
        <v>Dairy</v>
      </c>
      <c r="F35" s="1" t="s">
        <v>16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107</v>
      </c>
      <c r="B36" s="1" t="s">
        <v>14</v>
      </c>
      <c r="C36" s="1" t="s">
        <v>14</v>
      </c>
      <c r="D36" s="1" t="s">
        <v>108</v>
      </c>
      <c r="E36" s="1" t="str">
        <f>IFERROR(__xludf.DUMMYFUNCTION("""COMPUTED_VALUE"""),"Dairy")</f>
        <v>Dairy</v>
      </c>
      <c r="F36" s="1" t="s">
        <v>16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109</v>
      </c>
      <c r="B37" s="1" t="s">
        <v>14</v>
      </c>
      <c r="C37" s="1" t="s">
        <v>14</v>
      </c>
      <c r="D37" s="1" t="s">
        <v>110</v>
      </c>
      <c r="E37" s="1" t="str">
        <f>IFERROR(__xludf.DUMMYFUNCTION("""COMPUTED_VALUE"""),"Wheat, Soy")</f>
        <v>Wheat, Soy</v>
      </c>
      <c r="F37" s="1"/>
      <c r="G37" s="1"/>
      <c r="H37" s="1" t="s">
        <v>29</v>
      </c>
      <c r="I37" s="1" t="s">
        <v>18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111</v>
      </c>
      <c r="B38" s="1" t="s">
        <v>14</v>
      </c>
      <c r="C38" s="1" t="s">
        <v>14</v>
      </c>
      <c r="D38" s="1" t="s">
        <v>112</v>
      </c>
      <c r="E38" s="1" t="str">
        <f>IFERROR(__xludf.DUMMYFUNCTION("""COMPUTED_VALUE"""),"Gluten-Free Grains, Sweeteners")</f>
        <v>Gluten-Free Grains, Sweeteners</v>
      </c>
      <c r="F38" s="1"/>
      <c r="G38" s="1"/>
      <c r="H38" s="1" t="s">
        <v>33</v>
      </c>
      <c r="I38" s="1"/>
      <c r="J38" s="1"/>
      <c r="K38" s="1"/>
      <c r="L38" s="1"/>
      <c r="M38" s="1" t="s">
        <v>19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113</v>
      </c>
      <c r="B39" s="1" t="s">
        <v>14</v>
      </c>
      <c r="C39" s="1" t="s">
        <v>14</v>
      </c>
      <c r="D39" s="1" t="s">
        <v>114</v>
      </c>
      <c r="E39" s="1" t="str">
        <f>IFERROR(__xludf.DUMMYFUNCTION("""COMPUTED_VALUE"""),"Wheat")</f>
        <v>Wheat</v>
      </c>
      <c r="F39" s="1"/>
      <c r="G39" s="1"/>
      <c r="H39" s="1" t="s">
        <v>29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115</v>
      </c>
      <c r="B40" s="1" t="s">
        <v>14</v>
      </c>
      <c r="C40" s="1" t="s">
        <v>14</v>
      </c>
      <c r="D40" s="1" t="s">
        <v>116</v>
      </c>
      <c r="E40" s="1" t="str">
        <f>IFERROR(__xludf.DUMMYFUNCTION("""COMPUTED_VALUE"""),"Sweeteners")</f>
        <v>Sweeteners</v>
      </c>
      <c r="F40" s="1"/>
      <c r="G40" s="1"/>
      <c r="H40" s="1"/>
      <c r="I40" s="1"/>
      <c r="J40" s="1"/>
      <c r="K40" s="1"/>
      <c r="L40" s="1"/>
      <c r="M40" s="1" t="s">
        <v>19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117</v>
      </c>
      <c r="B41" s="1" t="s">
        <v>14</v>
      </c>
      <c r="C41" s="1" t="s">
        <v>72</v>
      </c>
      <c r="D41" s="1" t="s">
        <v>118</v>
      </c>
      <c r="E41" s="1" t="str">
        <f>IFERROR(__xludf.DUMMYFUNCTION("""COMPUTED_VALUE"""),"Dairy, Alliums")</f>
        <v>Dairy, Alliums</v>
      </c>
      <c r="F41" s="1" t="s">
        <v>16</v>
      </c>
      <c r="G41" s="1"/>
      <c r="H41" s="1"/>
      <c r="I41" s="1"/>
      <c r="J41" s="1" t="s">
        <v>64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119</v>
      </c>
      <c r="B42" s="1" t="s">
        <v>14</v>
      </c>
      <c r="C42" s="1" t="s">
        <v>14</v>
      </c>
      <c r="D42" s="1" t="s">
        <v>120</v>
      </c>
      <c r="E42" s="1" t="str">
        <f>IFERROR(__xludf.DUMMYFUNCTION("""COMPUTED_VALUE"""),"Dairy, Alliums, Dried Herbs &amp; Spices, Sweeteners")</f>
        <v>Dairy, Alliums, Dried Herbs &amp; Spices, Sweeteners</v>
      </c>
      <c r="F42" s="1" t="s">
        <v>16</v>
      </c>
      <c r="G42" s="1"/>
      <c r="H42" s="1"/>
      <c r="I42" s="1"/>
      <c r="J42" s="1" t="s">
        <v>64</v>
      </c>
      <c r="K42" s="1"/>
      <c r="L42" s="1" t="s">
        <v>30</v>
      </c>
      <c r="M42" s="1" t="s">
        <v>19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121</v>
      </c>
      <c r="B43" s="1" t="s">
        <v>14</v>
      </c>
      <c r="C43" s="1" t="s">
        <v>14</v>
      </c>
      <c r="D43" s="1" t="s">
        <v>122</v>
      </c>
      <c r="E43" s="1" t="str">
        <f>IFERROR(__xludf.DUMMYFUNCTION("""COMPUTED_VALUE"""),"Sweeteners, Other")</f>
        <v>Sweeteners, Other</v>
      </c>
      <c r="F43" s="1"/>
      <c r="G43" s="1"/>
      <c r="H43" s="1"/>
      <c r="I43" s="1"/>
      <c r="J43" s="1"/>
      <c r="K43" s="1"/>
      <c r="L43" s="1"/>
      <c r="M43" s="1" t="s">
        <v>19</v>
      </c>
      <c r="N43" s="1" t="s">
        <v>34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123</v>
      </c>
      <c r="B44" s="1" t="s">
        <v>14</v>
      </c>
      <c r="C44" s="1" t="s">
        <v>14</v>
      </c>
      <c r="D44" s="1" t="s">
        <v>124</v>
      </c>
      <c r="E44" s="1" t="str">
        <f>IFERROR(__xludf.DUMMYFUNCTION("""COMPUTED_VALUE"""),"Nightshades, Other")</f>
        <v>Nightshades, Other</v>
      </c>
      <c r="F44" s="1"/>
      <c r="G44" s="1"/>
      <c r="H44" s="1"/>
      <c r="I44" s="1"/>
      <c r="J44" s="1" t="s">
        <v>125</v>
      </c>
      <c r="K44" s="1"/>
      <c r="L44" s="1"/>
      <c r="M44" s="1"/>
      <c r="N44" s="1" t="s">
        <v>34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126</v>
      </c>
      <c r="B45" s="1" t="s">
        <v>14</v>
      </c>
      <c r="C45" s="1" t="s">
        <v>14</v>
      </c>
      <c r="D45" s="1" t="s">
        <v>127</v>
      </c>
      <c r="E45" s="1" t="str">
        <f>IFERROR(__xludf.DUMMYFUNCTION("""COMPUTED_VALUE"""),"Dairy, Sweeteners, Other")</f>
        <v>Dairy, Sweeteners, Other</v>
      </c>
      <c r="F45" s="1" t="s">
        <v>16</v>
      </c>
      <c r="G45" s="1"/>
      <c r="H45" s="1"/>
      <c r="I45" s="1"/>
      <c r="J45" s="1"/>
      <c r="K45" s="1"/>
      <c r="L45" s="1"/>
      <c r="M45" s="1" t="s">
        <v>19</v>
      </c>
      <c r="N45" s="1" t="s">
        <v>34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128</v>
      </c>
      <c r="B46" s="1" t="s">
        <v>14</v>
      </c>
      <c r="C46" s="1" t="s">
        <v>14</v>
      </c>
      <c r="D46" s="1" t="s">
        <v>129</v>
      </c>
      <c r="E46" s="1" t="str">
        <f>IFERROR(__xludf.DUMMYFUNCTION("""COMPUTED_VALUE"""),"Dairy, Corn, Sweeteners, Other")</f>
        <v>Dairy, Corn, Sweeteners, Other</v>
      </c>
      <c r="F46" s="1" t="s">
        <v>16</v>
      </c>
      <c r="G46" s="1"/>
      <c r="H46" s="1" t="s">
        <v>63</v>
      </c>
      <c r="I46" s="1"/>
      <c r="J46" s="1"/>
      <c r="K46" s="1"/>
      <c r="L46" s="1"/>
      <c r="M46" s="1" t="s">
        <v>19</v>
      </c>
      <c r="N46" s="1" t="s">
        <v>34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130</v>
      </c>
      <c r="B47" s="1" t="s">
        <v>14</v>
      </c>
      <c r="C47" s="1" t="s">
        <v>14</v>
      </c>
      <c r="D47" s="1" t="s">
        <v>131</v>
      </c>
      <c r="E47" s="1" t="str">
        <f>IFERROR(__xludf.DUMMYFUNCTION("""COMPUTED_VALUE"""),"Wheat")</f>
        <v>Wheat</v>
      </c>
      <c r="F47" s="1"/>
      <c r="G47" s="1"/>
      <c r="H47" s="1" t="s">
        <v>29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132</v>
      </c>
      <c r="B48" s="1" t="s">
        <v>14</v>
      </c>
      <c r="C48" s="1" t="s">
        <v>14</v>
      </c>
      <c r="D48" s="1" t="s">
        <v>133</v>
      </c>
      <c r="E48" s="1" t="str">
        <f>IFERROR(__xludf.DUMMYFUNCTION("""COMPUTED_VALUE"""),"Wheat")</f>
        <v>Wheat</v>
      </c>
      <c r="F48" s="1"/>
      <c r="G48" s="1"/>
      <c r="H48" s="1" t="s">
        <v>29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134</v>
      </c>
      <c r="B49" s="1" t="s">
        <v>14</v>
      </c>
      <c r="C49" s="1" t="s">
        <v>14</v>
      </c>
      <c r="D49" s="1" t="s">
        <v>135</v>
      </c>
      <c r="E49" s="1" t="str">
        <f>IFERROR(__xludf.DUMMYFUNCTION("""COMPUTED_VALUE"""),"Dried Herbs &amp; Spices, Sweeteners")</f>
        <v>Dried Herbs &amp; Spices, Sweeteners</v>
      </c>
      <c r="F49" s="1"/>
      <c r="G49" s="1"/>
      <c r="H49" s="1"/>
      <c r="I49" s="1"/>
      <c r="J49" s="1"/>
      <c r="K49" s="1"/>
      <c r="L49" s="1" t="s">
        <v>30</v>
      </c>
      <c r="M49" s="1" t="s">
        <v>19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136</v>
      </c>
      <c r="B50" s="1" t="s">
        <v>14</v>
      </c>
      <c r="C50" s="1" t="s">
        <v>14</v>
      </c>
      <c r="D50" s="1" t="s">
        <v>137</v>
      </c>
      <c r="E50" s="1" t="str">
        <f>IFERROR(__xludf.DUMMYFUNCTION("""COMPUTED_VALUE"""),"#N/A")</f>
        <v>#N/A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138</v>
      </c>
      <c r="B51" s="1" t="s">
        <v>14</v>
      </c>
      <c r="C51" s="1" t="s">
        <v>14</v>
      </c>
      <c r="D51" s="1" t="s">
        <v>139</v>
      </c>
      <c r="E51" s="1" t="str">
        <f>IFERROR(__xludf.DUMMYFUNCTION("""COMPUTED_VALUE"""),"Dairy, Eggs, Corn, Sweeteners")</f>
        <v>Dairy, Eggs, Corn, Sweeteners</v>
      </c>
      <c r="F51" s="1" t="s">
        <v>84</v>
      </c>
      <c r="G51" s="1"/>
      <c r="H51" s="1" t="s">
        <v>63</v>
      </c>
      <c r="I51" s="1"/>
      <c r="J51" s="1"/>
      <c r="K51" s="1"/>
      <c r="L51" s="1"/>
      <c r="M51" s="1" t="s">
        <v>19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140</v>
      </c>
      <c r="B52" s="1" t="s">
        <v>14</v>
      </c>
      <c r="C52" s="1" t="s">
        <v>14</v>
      </c>
      <c r="D52" s="1" t="s">
        <v>141</v>
      </c>
      <c r="E52" s="1" t="str">
        <f>IFERROR(__xludf.DUMMYFUNCTION("""COMPUTED_VALUE"""),"Dairy, Wheat, Gluten-Free Grains, Tree Nuts, Soy, Sweeteners")</f>
        <v>Dairy, Wheat, Gluten-Free Grains, Tree Nuts, Soy, Sweeteners</v>
      </c>
      <c r="F52" s="1" t="s">
        <v>16</v>
      </c>
      <c r="G52" s="1"/>
      <c r="H52" s="1" t="s">
        <v>17</v>
      </c>
      <c r="I52" s="1" t="s">
        <v>142</v>
      </c>
      <c r="J52" s="1"/>
      <c r="K52" s="1"/>
      <c r="L52" s="1"/>
      <c r="M52" s="1" t="s">
        <v>19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143</v>
      </c>
      <c r="B53" s="1" t="s">
        <v>14</v>
      </c>
      <c r="C53" s="1" t="s">
        <v>14</v>
      </c>
      <c r="D53" s="1" t="s">
        <v>144</v>
      </c>
      <c r="E53" s="1" t="str">
        <f>IFERROR(__xludf.DUMMYFUNCTION("""COMPUTED_VALUE"""),"Other")</f>
        <v>Other</v>
      </c>
      <c r="F53" s="1"/>
      <c r="G53" s="1"/>
      <c r="H53" s="1"/>
      <c r="I53" s="1"/>
      <c r="J53" s="1"/>
      <c r="K53" s="1"/>
      <c r="L53" s="1"/>
      <c r="M53" s="1"/>
      <c r="N53" s="1" t="s">
        <v>34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145</v>
      </c>
      <c r="B54" s="1" t="s">
        <v>13</v>
      </c>
      <c r="C54" s="1" t="s">
        <v>14</v>
      </c>
      <c r="D54" s="1" t="s">
        <v>146</v>
      </c>
      <c r="E54" s="1" t="str">
        <f>IFERROR(__xludf.DUMMYFUNCTION("""COMPUTED_VALUE"""),"Dairy, Eggs, Wheat, Sweeteners")</f>
        <v>Dairy, Eggs, Wheat, Sweeteners</v>
      </c>
      <c r="F54" s="1" t="s">
        <v>84</v>
      </c>
      <c r="G54" s="1"/>
      <c r="H54" s="1" t="s">
        <v>29</v>
      </c>
      <c r="I54" s="1"/>
      <c r="J54" s="1"/>
      <c r="K54" s="1"/>
      <c r="L54" s="1"/>
      <c r="M54" s="1" t="s">
        <v>19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147</v>
      </c>
      <c r="B55" s="1" t="s">
        <v>14</v>
      </c>
      <c r="C55" s="1" t="s">
        <v>14</v>
      </c>
      <c r="D55" s="1" t="s">
        <v>148</v>
      </c>
      <c r="E55" s="1" t="str">
        <f>IFERROR(__xludf.DUMMYFUNCTION("""COMPUTED_VALUE"""),"Eggs, Dairy, Corn, Sweeteners")</f>
        <v>Eggs, Dairy, Corn, Sweeteners</v>
      </c>
      <c r="F55" s="1" t="s">
        <v>57</v>
      </c>
      <c r="G55" s="1"/>
      <c r="H55" s="1" t="s">
        <v>63</v>
      </c>
      <c r="I55" s="1"/>
      <c r="J55" s="1"/>
      <c r="K55" s="1"/>
      <c r="L55" s="1"/>
      <c r="M55" s="1" t="s">
        <v>19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149</v>
      </c>
      <c r="B56" s="1" t="s">
        <v>14</v>
      </c>
      <c r="C56" s="1" t="s">
        <v>14</v>
      </c>
      <c r="D56" s="1" t="s">
        <v>150</v>
      </c>
      <c r="E56" s="1" t="str">
        <f>IFERROR(__xludf.DUMMYFUNCTION("""COMPUTED_VALUE"""),"Dairy, Corn, Dried Herbs &amp; Spices, Sweeteners")</f>
        <v>Dairy, Corn, Dried Herbs &amp; Spices, Sweeteners</v>
      </c>
      <c r="F56" s="1" t="s">
        <v>16</v>
      </c>
      <c r="G56" s="1"/>
      <c r="H56" s="1" t="s">
        <v>63</v>
      </c>
      <c r="I56" s="1"/>
      <c r="J56" s="1"/>
      <c r="K56" s="1"/>
      <c r="L56" s="1" t="s">
        <v>30</v>
      </c>
      <c r="M56" s="1" t="s">
        <v>19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151</v>
      </c>
      <c r="B57" s="1" t="s">
        <v>14</v>
      </c>
      <c r="C57" s="1" t="s">
        <v>14</v>
      </c>
      <c r="D57" s="1" t="s">
        <v>152</v>
      </c>
      <c r="E57" s="1" t="str">
        <f>IFERROR(__xludf.DUMMYFUNCTION("""COMPUTED_VALUE"""),"Dairy, Wheat, Sweeteners")</f>
        <v>Dairy, Wheat, Sweeteners</v>
      </c>
      <c r="F57" s="1" t="s">
        <v>16</v>
      </c>
      <c r="G57" s="1"/>
      <c r="H57" s="1" t="s">
        <v>29</v>
      </c>
      <c r="I57" s="1"/>
      <c r="J57" s="1"/>
      <c r="K57" s="1"/>
      <c r="L57" s="1"/>
      <c r="M57" s="1" t="s">
        <v>19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153</v>
      </c>
      <c r="B58" s="1" t="s">
        <v>14</v>
      </c>
      <c r="C58" s="1" t="s">
        <v>14</v>
      </c>
      <c r="D58" s="1" t="s">
        <v>154</v>
      </c>
      <c r="E58" s="1" t="str">
        <f>IFERROR(__xludf.DUMMYFUNCTION("""COMPUTED_VALUE"""),"#N/A")</f>
        <v>#N/A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155</v>
      </c>
      <c r="B59" s="1" t="s">
        <v>14</v>
      </c>
      <c r="C59" s="1" t="s">
        <v>14</v>
      </c>
      <c r="D59" s="1" t="s">
        <v>156</v>
      </c>
      <c r="E59" s="1" t="str">
        <f>IFERROR(__xludf.DUMMYFUNCTION("""COMPUTED_VALUE"""),"Dairy, Eggs, Soy, Dried Herbs &amp; Spices, Sweeteners")</f>
        <v>Dairy, Eggs, Soy, Dried Herbs &amp; Spices, Sweeteners</v>
      </c>
      <c r="F59" s="1" t="s">
        <v>84</v>
      </c>
      <c r="G59" s="1"/>
      <c r="H59" s="1"/>
      <c r="I59" s="1" t="s">
        <v>18</v>
      </c>
      <c r="J59" s="1"/>
      <c r="K59" s="1"/>
      <c r="L59" s="1" t="s">
        <v>30</v>
      </c>
      <c r="M59" s="1" t="s">
        <v>19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157</v>
      </c>
      <c r="B60" s="1" t="s">
        <v>14</v>
      </c>
      <c r="C60" s="1" t="s">
        <v>14</v>
      </c>
      <c r="D60" s="1" t="s">
        <v>158</v>
      </c>
      <c r="E60" s="1" t="str">
        <f>IFERROR(__xludf.DUMMYFUNCTION("""COMPUTED_VALUE"""),"Tree Nuts")</f>
        <v>Tree Nuts</v>
      </c>
      <c r="F60" s="1"/>
      <c r="G60" s="1"/>
      <c r="H60" s="1"/>
      <c r="I60" s="1" t="s">
        <v>85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159</v>
      </c>
      <c r="B61" s="1" t="s">
        <v>14</v>
      </c>
      <c r="C61" s="1" t="s">
        <v>14</v>
      </c>
      <c r="D61" s="1" t="s">
        <v>160</v>
      </c>
      <c r="E61" s="1" t="str">
        <f>IFERROR(__xludf.DUMMYFUNCTION("""COMPUTED_VALUE"""),"Dairy")</f>
        <v>Dairy</v>
      </c>
      <c r="F61" s="1" t="s">
        <v>16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161</v>
      </c>
      <c r="B62" s="1" t="s">
        <v>14</v>
      </c>
      <c r="C62" s="1" t="s">
        <v>14</v>
      </c>
      <c r="D62" s="1" t="s">
        <v>162</v>
      </c>
      <c r="E62" s="1" t="str">
        <f>IFERROR(__xludf.DUMMYFUNCTION("""COMPUTED_VALUE"""),"Wheat, Soy")</f>
        <v>Wheat, Soy</v>
      </c>
      <c r="F62" s="1"/>
      <c r="G62" s="1"/>
      <c r="H62" s="1" t="s">
        <v>29</v>
      </c>
      <c r="I62" s="1" t="s">
        <v>18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163</v>
      </c>
      <c r="B63" s="1" t="s">
        <v>14</v>
      </c>
      <c r="C63" s="1" t="s">
        <v>14</v>
      </c>
      <c r="D63" s="1" t="s">
        <v>164</v>
      </c>
      <c r="E63" s="1" t="str">
        <f>IFERROR(__xludf.DUMMYFUNCTION("""COMPUTED_VALUE"""),"Wheat, Soy")</f>
        <v>Wheat, Soy</v>
      </c>
      <c r="F63" s="1"/>
      <c r="G63" s="1"/>
      <c r="H63" s="1" t="s">
        <v>29</v>
      </c>
      <c r="I63" s="1" t="s">
        <v>18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165</v>
      </c>
      <c r="B64" s="1" t="s">
        <v>14</v>
      </c>
      <c r="C64" s="1" t="s">
        <v>14</v>
      </c>
      <c r="D64" s="1" t="s">
        <v>166</v>
      </c>
      <c r="E64" s="1" t="str">
        <f>IFERROR(__xludf.DUMMYFUNCTION("""COMPUTED_VALUE"""),"Dairy, Soy, Tree Nuts, Peanuts, Sweeteners")</f>
        <v>Dairy, Soy, Tree Nuts, Peanuts, Sweeteners</v>
      </c>
      <c r="F64" s="1" t="s">
        <v>16</v>
      </c>
      <c r="G64" s="1"/>
      <c r="H64" s="1"/>
      <c r="I64" s="1" t="s">
        <v>167</v>
      </c>
      <c r="J64" s="1"/>
      <c r="K64" s="1"/>
      <c r="L64" s="1"/>
      <c r="M64" s="1" t="s">
        <v>19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168</v>
      </c>
      <c r="B65" s="1" t="s">
        <v>14</v>
      </c>
      <c r="C65" s="1" t="s">
        <v>14</v>
      </c>
      <c r="D65" s="1" t="s">
        <v>169</v>
      </c>
      <c r="E65" s="1" t="str">
        <f>IFERROR(__xludf.DUMMYFUNCTION("""COMPUTED_VALUE"""),"Dairy, Wheat, Soy")</f>
        <v>Dairy, Wheat, Soy</v>
      </c>
      <c r="F65" s="1" t="s">
        <v>16</v>
      </c>
      <c r="G65" s="1"/>
      <c r="H65" s="1" t="s">
        <v>29</v>
      </c>
      <c r="I65" s="1" t="s">
        <v>18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170</v>
      </c>
      <c r="B66" s="1" t="s">
        <v>14</v>
      </c>
      <c r="C66" s="1" t="s">
        <v>14</v>
      </c>
      <c r="D66" s="1" t="s">
        <v>171</v>
      </c>
      <c r="E66" s="1" t="str">
        <f>IFERROR(__xludf.DUMMYFUNCTION("""COMPUTED_VALUE"""),"Dairy")</f>
        <v>Dairy</v>
      </c>
      <c r="F66" s="1" t="s">
        <v>16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172</v>
      </c>
      <c r="B67" s="1" t="s">
        <v>14</v>
      </c>
      <c r="C67" s="1" t="s">
        <v>14</v>
      </c>
      <c r="D67" s="1" t="s">
        <v>173</v>
      </c>
      <c r="E67" s="1" t="str">
        <f>IFERROR(__xludf.DUMMYFUNCTION("""COMPUTED_VALUE"""),"Dairy")</f>
        <v>Dairy</v>
      </c>
      <c r="F67" s="1" t="s">
        <v>16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174</v>
      </c>
      <c r="B68" s="1" t="s">
        <v>14</v>
      </c>
      <c r="C68" s="1" t="s">
        <v>14</v>
      </c>
      <c r="D68" s="1" t="s">
        <v>175</v>
      </c>
      <c r="E68" s="1" t="str">
        <f>IFERROR(__xludf.DUMMYFUNCTION("""COMPUTED_VALUE"""),"Dairy, Sweeteners")</f>
        <v>Dairy, Sweeteners</v>
      </c>
      <c r="F68" s="1" t="s">
        <v>16</v>
      </c>
      <c r="G68" s="1"/>
      <c r="H68" s="1"/>
      <c r="I68" s="1"/>
      <c r="J68" s="1"/>
      <c r="K68" s="1"/>
      <c r="L68" s="1"/>
      <c r="M68" s="1" t="s">
        <v>19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176</v>
      </c>
      <c r="B69" s="1" t="s">
        <v>14</v>
      </c>
      <c r="C69" s="1" t="s">
        <v>14</v>
      </c>
      <c r="D69" s="1" t="s">
        <v>177</v>
      </c>
      <c r="E69" s="1" t="str">
        <f>IFERROR(__xludf.DUMMYFUNCTION("""COMPUTED_VALUE"""),"Other")</f>
        <v>Other</v>
      </c>
      <c r="F69" s="1"/>
      <c r="G69" s="1"/>
      <c r="H69" s="1"/>
      <c r="I69" s="1"/>
      <c r="J69" s="1"/>
      <c r="K69" s="1"/>
      <c r="L69" s="1"/>
      <c r="M69" s="1"/>
      <c r="N69" s="1" t="s">
        <v>34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178</v>
      </c>
      <c r="B70" s="1" t="s">
        <v>14</v>
      </c>
      <c r="C70" s="1" t="s">
        <v>14</v>
      </c>
      <c r="D70" s="1" t="s">
        <v>179</v>
      </c>
      <c r="E70" s="1" t="str">
        <f>IFERROR(__xludf.DUMMYFUNCTION("""COMPUTED_VALUE"""),"Dairy, Sweeteners")</f>
        <v>Dairy, Sweeteners</v>
      </c>
      <c r="F70" s="1" t="s">
        <v>16</v>
      </c>
      <c r="G70" s="1"/>
      <c r="H70" s="1"/>
      <c r="I70" s="1"/>
      <c r="J70" s="1"/>
      <c r="K70" s="1"/>
      <c r="L70" s="1"/>
      <c r="M70" s="1" t="s">
        <v>19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180</v>
      </c>
      <c r="B71" s="1" t="s">
        <v>14</v>
      </c>
      <c r="C71" s="1" t="s">
        <v>14</v>
      </c>
      <c r="D71" s="1" t="s">
        <v>181</v>
      </c>
      <c r="E71" s="1" t="str">
        <f>IFERROR(__xludf.DUMMYFUNCTION("""COMPUTED_VALUE"""),"Dairy, Tree Nuts, Soy, Sweeteners")</f>
        <v>Dairy, Tree Nuts, Soy, Sweeteners</v>
      </c>
      <c r="F71" s="1" t="s">
        <v>16</v>
      </c>
      <c r="G71" s="1"/>
      <c r="H71" s="1"/>
      <c r="I71" s="1" t="s">
        <v>142</v>
      </c>
      <c r="J71" s="1"/>
      <c r="K71" s="1"/>
      <c r="L71" s="1"/>
      <c r="M71" s="1" t="s">
        <v>19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182</v>
      </c>
      <c r="B72" s="1" t="s">
        <v>14</v>
      </c>
      <c r="C72" s="1" t="s">
        <v>14</v>
      </c>
      <c r="D72" s="1" t="s">
        <v>183</v>
      </c>
      <c r="E72" s="1" t="str">
        <f>IFERROR(__xludf.DUMMYFUNCTION("""COMPUTED_VALUE"""),"Dairy, Sweeteners")</f>
        <v>Dairy, Sweeteners</v>
      </c>
      <c r="F72" s="1" t="s">
        <v>16</v>
      </c>
      <c r="G72" s="1"/>
      <c r="H72" s="1"/>
      <c r="I72" s="1"/>
      <c r="J72" s="1"/>
      <c r="K72" s="1"/>
      <c r="L72" s="1"/>
      <c r="M72" s="1" t="s">
        <v>19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184</v>
      </c>
      <c r="B73" s="1" t="s">
        <v>14</v>
      </c>
      <c r="C73" s="1" t="s">
        <v>72</v>
      </c>
      <c r="D73" s="1" t="s">
        <v>185</v>
      </c>
      <c r="E73" s="1" t="str">
        <f>IFERROR(__xludf.DUMMYFUNCTION("""COMPUTED_VALUE"""),"Gluten-Free Grains, Tree Nuts, Sweeteners")</f>
        <v>Gluten-Free Grains, Tree Nuts, Sweeteners</v>
      </c>
      <c r="F73" s="1"/>
      <c r="G73" s="1"/>
      <c r="H73" s="1" t="s">
        <v>33</v>
      </c>
      <c r="I73" s="1" t="s">
        <v>85</v>
      </c>
      <c r="J73" s="1"/>
      <c r="K73" s="1"/>
      <c r="L73" s="1"/>
      <c r="M73" s="1" t="s">
        <v>19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186</v>
      </c>
      <c r="B74" s="1" t="s">
        <v>14</v>
      </c>
      <c r="C74" s="1" t="s">
        <v>14</v>
      </c>
      <c r="D74" s="1" t="s">
        <v>187</v>
      </c>
      <c r="E74" s="1" t="str">
        <f>IFERROR(__xludf.DUMMYFUNCTION("""COMPUTED_VALUE"""),"Gluten-Free Grains, Corn, Peanuts, Tree Nuts, Dried Herbs &amp; Spices, Sweeteners")</f>
        <v>Gluten-Free Grains, Corn, Peanuts, Tree Nuts, Dried Herbs &amp; Spices, Sweeteners</v>
      </c>
      <c r="F74" s="1"/>
      <c r="G74" s="1"/>
      <c r="H74" s="1" t="s">
        <v>188</v>
      </c>
      <c r="I74" s="1" t="s">
        <v>189</v>
      </c>
      <c r="J74" s="1"/>
      <c r="K74" s="1"/>
      <c r="L74" s="1" t="s">
        <v>30</v>
      </c>
      <c r="M74" s="1" t="s">
        <v>19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190</v>
      </c>
      <c r="B75" s="1" t="s">
        <v>14</v>
      </c>
      <c r="C75" s="1" t="s">
        <v>14</v>
      </c>
      <c r="D75" s="1" t="s">
        <v>191</v>
      </c>
      <c r="E75" s="1" t="str">
        <f>IFERROR(__xludf.DUMMYFUNCTION("""COMPUTED_VALUE"""),"Dairy, Dried Herbs &amp; Spices, Caffeine, Sweeteners")</f>
        <v>Dairy, Dried Herbs &amp; Spices, Caffeine, Sweeteners</v>
      </c>
      <c r="F75" s="1" t="s">
        <v>16</v>
      </c>
      <c r="G75" s="1"/>
      <c r="H75" s="1"/>
      <c r="I75" s="1"/>
      <c r="J75" s="1"/>
      <c r="K75" s="1"/>
      <c r="L75" s="1" t="s">
        <v>30</v>
      </c>
      <c r="M75" s="1" t="s">
        <v>192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193</v>
      </c>
      <c r="B76" s="1" t="s">
        <v>14</v>
      </c>
      <c r="C76" s="1" t="s">
        <v>14</v>
      </c>
      <c r="D76" s="1" t="s">
        <v>194</v>
      </c>
      <c r="E76" s="1" t="str">
        <f>IFERROR(__xludf.DUMMYFUNCTION("""COMPUTED_VALUE"""),"Dairy, Eggs, Dried Herbs &amp; Spices, Sweeteners")</f>
        <v>Dairy, Eggs, Dried Herbs &amp; Spices, Sweeteners</v>
      </c>
      <c r="F76" s="1" t="s">
        <v>84</v>
      </c>
      <c r="G76" s="1"/>
      <c r="H76" s="1"/>
      <c r="I76" s="1"/>
      <c r="J76" s="1"/>
      <c r="K76" s="1"/>
      <c r="L76" s="1" t="s">
        <v>30</v>
      </c>
      <c r="M76" s="1" t="s">
        <v>19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195</v>
      </c>
      <c r="B77" s="1" t="s">
        <v>14</v>
      </c>
      <c r="C77" s="1" t="s">
        <v>14</v>
      </c>
      <c r="D77" s="1" t="s">
        <v>196</v>
      </c>
      <c r="E77" s="1" t="str">
        <f>IFERROR(__xludf.DUMMYFUNCTION("""COMPUTED_VALUE"""),"Soy, Alliums, Spicy, Dried Herbs &amp; Spices, Other")</f>
        <v>Soy, Alliums, Spicy, Dried Herbs &amp; Spices, Other</v>
      </c>
      <c r="F77" s="1"/>
      <c r="G77" s="1"/>
      <c r="H77" s="1"/>
      <c r="I77" s="1" t="s">
        <v>18</v>
      </c>
      <c r="J77" s="1" t="s">
        <v>64</v>
      </c>
      <c r="K77" s="1"/>
      <c r="L77" s="1" t="s">
        <v>37</v>
      </c>
      <c r="M77" s="1"/>
      <c r="N77" s="1" t="s">
        <v>34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197</v>
      </c>
      <c r="B78" s="1" t="s">
        <v>14</v>
      </c>
      <c r="C78" s="1" t="s">
        <v>14</v>
      </c>
      <c r="D78" s="1" t="s">
        <v>198</v>
      </c>
      <c r="E78" s="1" t="str">
        <f>IFERROR(__xludf.DUMMYFUNCTION("""COMPUTED_VALUE"""),"Corn, Gluten-Free Grains, Spicy, Dried Herbs &amp; Spices, Other")</f>
        <v>Corn, Gluten-Free Grains, Spicy, Dried Herbs &amp; Spices, Other</v>
      </c>
      <c r="F78" s="1"/>
      <c r="G78" s="1"/>
      <c r="H78" s="1" t="s">
        <v>199</v>
      </c>
      <c r="I78" s="1"/>
      <c r="J78" s="1"/>
      <c r="K78" s="1"/>
      <c r="L78" s="1" t="s">
        <v>37</v>
      </c>
      <c r="M78" s="1"/>
      <c r="N78" s="1" t="s">
        <v>34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200</v>
      </c>
      <c r="B79" s="1" t="s">
        <v>14</v>
      </c>
      <c r="C79" s="1" t="s">
        <v>14</v>
      </c>
      <c r="D79" s="1" t="s">
        <v>201</v>
      </c>
      <c r="E79" s="1" t="str">
        <f>IFERROR(__xludf.DUMMYFUNCTION("""COMPUTED_VALUE"""),"Dried Herbs &amp; Spices, Sweeteners")</f>
        <v>Dried Herbs &amp; Spices, Sweeteners</v>
      </c>
      <c r="F79" s="1"/>
      <c r="G79" s="1"/>
      <c r="H79" s="1"/>
      <c r="I79" s="1"/>
      <c r="J79" s="1"/>
      <c r="K79" s="1"/>
      <c r="L79" s="1" t="s">
        <v>30</v>
      </c>
      <c r="M79" s="1" t="s">
        <v>19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202</v>
      </c>
      <c r="B80" s="1" t="s">
        <v>14</v>
      </c>
      <c r="C80" s="1" t="s">
        <v>14</v>
      </c>
      <c r="D80" s="1" t="s">
        <v>203</v>
      </c>
      <c r="E80" s="1" t="str">
        <f>IFERROR(__xludf.DUMMYFUNCTION("""COMPUTED_VALUE"""),"Wheat")</f>
        <v>Wheat</v>
      </c>
      <c r="F80" s="1"/>
      <c r="G80" s="1"/>
      <c r="H80" s="1" t="s">
        <v>29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204</v>
      </c>
      <c r="B81" s="1" t="s">
        <v>14</v>
      </c>
      <c r="C81" s="1" t="s">
        <v>14</v>
      </c>
      <c r="D81" s="1" t="s">
        <v>205</v>
      </c>
      <c r="E81" s="1" t="str">
        <f>IFERROR(__xludf.DUMMYFUNCTION("""COMPUTED_VALUE"""),"Beef, Wheat, Alliums, Spicy, Sweeteners")</f>
        <v>Beef, Wheat, Alliums, Spicy, Sweeteners</v>
      </c>
      <c r="F81" s="1" t="s">
        <v>54</v>
      </c>
      <c r="G81" s="1"/>
      <c r="H81" s="1" t="s">
        <v>29</v>
      </c>
      <c r="I81" s="1"/>
      <c r="J81" s="1" t="s">
        <v>64</v>
      </c>
      <c r="K81" s="1"/>
      <c r="L81" s="1" t="s">
        <v>206</v>
      </c>
      <c r="M81" s="1" t="s">
        <v>19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207</v>
      </c>
      <c r="B82" s="1" t="s">
        <v>14</v>
      </c>
      <c r="C82" s="1" t="s">
        <v>14</v>
      </c>
      <c r="D82" s="1" t="s">
        <v>208</v>
      </c>
      <c r="E82" s="1" t="str">
        <f>IFERROR(__xludf.DUMMYFUNCTION("""COMPUTED_VALUE"""),"Peanuts")</f>
        <v>Peanuts</v>
      </c>
      <c r="F82" s="1"/>
      <c r="G82" s="1"/>
      <c r="H82" s="1"/>
      <c r="I82" s="1" t="s">
        <v>209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210</v>
      </c>
      <c r="B83" s="1" t="s">
        <v>14</v>
      </c>
      <c r="C83" s="1" t="s">
        <v>14</v>
      </c>
      <c r="D83" s="1" t="s">
        <v>211</v>
      </c>
      <c r="E83" s="1" t="str">
        <f>IFERROR(__xludf.DUMMYFUNCTION("""COMPUTED_VALUE"""),"Dairy")</f>
        <v>Dairy</v>
      </c>
      <c r="F83" s="1" t="s">
        <v>16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212</v>
      </c>
      <c r="B84" s="1" t="s">
        <v>14</v>
      </c>
      <c r="C84" s="1" t="s">
        <v>14</v>
      </c>
      <c r="D84" s="1" t="s">
        <v>213</v>
      </c>
      <c r="E84" s="1" t="str">
        <f>IFERROR(__xludf.DUMMYFUNCTION("""COMPUTED_VALUE"""),"Beef, Gluten-Free Grains, Spicy, Dried Herbs &amp; Spices")</f>
        <v>Beef, Gluten-Free Grains, Spicy, Dried Herbs &amp; Spices</v>
      </c>
      <c r="F84" s="1" t="s">
        <v>54</v>
      </c>
      <c r="G84" s="1"/>
      <c r="H84" s="1" t="s">
        <v>33</v>
      </c>
      <c r="I84" s="1"/>
      <c r="J84" s="1"/>
      <c r="K84" s="1"/>
      <c r="L84" s="1" t="s">
        <v>37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214</v>
      </c>
      <c r="B85" s="1" t="s">
        <v>14</v>
      </c>
      <c r="C85" s="1" t="s">
        <v>14</v>
      </c>
      <c r="D85" s="1" t="s">
        <v>215</v>
      </c>
      <c r="E85" s="1" t="str">
        <f>IFERROR(__xludf.DUMMYFUNCTION("""COMPUTED_VALUE"""),"Gluten-Free Grains, Corn")</f>
        <v>Gluten-Free Grains, Corn</v>
      </c>
      <c r="F85" s="1"/>
      <c r="G85" s="1"/>
      <c r="H85" s="1" t="s">
        <v>188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216</v>
      </c>
      <c r="B86" s="1" t="s">
        <v>14</v>
      </c>
      <c r="C86" s="1" t="s">
        <v>14</v>
      </c>
      <c r="D86" s="1" t="s">
        <v>217</v>
      </c>
      <c r="E86" s="1" t="str">
        <f>IFERROR(__xludf.DUMMYFUNCTION("""COMPUTED_VALUE"""),"Gluten-Free Grains")</f>
        <v>Gluten-Free Grains</v>
      </c>
      <c r="F86" s="1"/>
      <c r="G86" s="1"/>
      <c r="H86" s="1" t="s">
        <v>33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218</v>
      </c>
      <c r="B87" s="1" t="s">
        <v>14</v>
      </c>
      <c r="C87" s="1" t="s">
        <v>14</v>
      </c>
      <c r="D87" s="1" t="s">
        <v>219</v>
      </c>
      <c r="E87" s="1" t="str">
        <f>IFERROR(__xludf.DUMMYFUNCTION("""COMPUTED_VALUE"""),"Chicken")</f>
        <v>Chicken</v>
      </c>
      <c r="F87" s="1" t="s">
        <v>62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220</v>
      </c>
      <c r="B88" s="1" t="s">
        <v>14</v>
      </c>
      <c r="C88" s="1" t="s">
        <v>14</v>
      </c>
      <c r="D88" s="1" t="s">
        <v>221</v>
      </c>
      <c r="E88" s="1" t="str">
        <f>IFERROR(__xludf.DUMMYFUNCTION("""COMPUTED_VALUE"""),"Wheat, Dried Herbs &amp; Spices, Sweeteners, Other")</f>
        <v>Wheat, Dried Herbs &amp; Spices, Sweeteners, Other</v>
      </c>
      <c r="F88" s="1"/>
      <c r="G88" s="1"/>
      <c r="H88" s="1" t="s">
        <v>29</v>
      </c>
      <c r="I88" s="1"/>
      <c r="J88" s="1"/>
      <c r="K88" s="1"/>
      <c r="L88" s="1" t="s">
        <v>30</v>
      </c>
      <c r="M88" s="1" t="s">
        <v>19</v>
      </c>
      <c r="N88" s="1" t="s">
        <v>34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222</v>
      </c>
      <c r="B89" s="1" t="s">
        <v>14</v>
      </c>
      <c r="C89" s="1" t="s">
        <v>14</v>
      </c>
      <c r="D89" s="1" t="s">
        <v>223</v>
      </c>
      <c r="E89" s="1" t="str">
        <f>IFERROR(__xludf.DUMMYFUNCTION("""COMPUTED_VALUE"""),"Wheat, Soy, Other")</f>
        <v>Wheat, Soy, Other</v>
      </c>
      <c r="F89" s="1"/>
      <c r="G89" s="1"/>
      <c r="H89" s="1" t="s">
        <v>29</v>
      </c>
      <c r="I89" s="1" t="s">
        <v>18</v>
      </c>
      <c r="J89" s="1"/>
      <c r="K89" s="1"/>
      <c r="L89" s="1"/>
      <c r="M89" s="1"/>
      <c r="N89" s="1" t="s">
        <v>34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224</v>
      </c>
      <c r="B90" s="1" t="s">
        <v>14</v>
      </c>
      <c r="C90" s="1" t="s">
        <v>14</v>
      </c>
      <c r="D90" s="1" t="s">
        <v>225</v>
      </c>
      <c r="E90" s="1" t="str">
        <f>IFERROR(__xludf.DUMMYFUNCTION("""COMPUTED_VALUE"""),"Gluten-Free Grains, Soy, Sweeteners")</f>
        <v>Gluten-Free Grains, Soy, Sweeteners</v>
      </c>
      <c r="F90" s="1"/>
      <c r="G90" s="1"/>
      <c r="H90" s="1" t="s">
        <v>33</v>
      </c>
      <c r="I90" s="1" t="s">
        <v>18</v>
      </c>
      <c r="J90" s="1"/>
      <c r="K90" s="1"/>
      <c r="L90" s="1"/>
      <c r="M90" s="1" t="s">
        <v>19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226</v>
      </c>
      <c r="B91" s="1" t="s">
        <v>14</v>
      </c>
      <c r="C91" s="1" t="s">
        <v>14</v>
      </c>
      <c r="D91" s="1" t="s">
        <v>227</v>
      </c>
      <c r="E91" s="1" t="str">
        <f>IFERROR(__xludf.DUMMYFUNCTION("""COMPUTED_VALUE"""),"Nightshades, Dried Herbs &amp; Spices, Sweeteners, Other")</f>
        <v>Nightshades, Dried Herbs &amp; Spices, Sweeteners, Other</v>
      </c>
      <c r="F91" s="1"/>
      <c r="G91" s="1"/>
      <c r="H91" s="1"/>
      <c r="I91" s="1"/>
      <c r="J91" s="1" t="s">
        <v>125</v>
      </c>
      <c r="K91" s="1"/>
      <c r="L91" s="1" t="s">
        <v>30</v>
      </c>
      <c r="M91" s="1" t="s">
        <v>19</v>
      </c>
      <c r="N91" s="1" t="s">
        <v>34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228</v>
      </c>
      <c r="B92" s="1" t="s">
        <v>14</v>
      </c>
      <c r="C92" s="1" t="s">
        <v>14</v>
      </c>
      <c r="D92" s="1" t="s">
        <v>229</v>
      </c>
      <c r="E92" s="1" t="str">
        <f>IFERROR(__xludf.DUMMYFUNCTION("""COMPUTED_VALUE"""),"Soy, Nightshades, Alliums, Spicy, Dried Herbs &amp; Spices, Sweeteners")</f>
        <v>Soy, Nightshades, Alliums, Spicy, Dried Herbs &amp; Spices, Sweeteners</v>
      </c>
      <c r="F92" s="1"/>
      <c r="G92" s="1"/>
      <c r="H92" s="1"/>
      <c r="I92" s="1" t="s">
        <v>18</v>
      </c>
      <c r="J92" s="1" t="s">
        <v>230</v>
      </c>
      <c r="K92" s="1"/>
      <c r="L92" s="1" t="s">
        <v>37</v>
      </c>
      <c r="M92" s="1" t="s">
        <v>19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231</v>
      </c>
      <c r="B93" s="1" t="s">
        <v>14</v>
      </c>
      <c r="C93" s="1" t="s">
        <v>72</v>
      </c>
      <c r="D93" s="1" t="s">
        <v>232</v>
      </c>
      <c r="E93" s="1" t="str">
        <f>IFERROR(__xludf.DUMMYFUNCTION("""COMPUTED_VALUE"""),"Dairy")</f>
        <v>Dairy</v>
      </c>
      <c r="F93" s="1" t="s">
        <v>16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233</v>
      </c>
      <c r="B94" s="1" t="s">
        <v>13</v>
      </c>
      <c r="C94" s="1" t="s">
        <v>14</v>
      </c>
      <c r="D94" s="1" t="s">
        <v>234</v>
      </c>
      <c r="E94" s="1" t="str">
        <f>IFERROR(__xludf.DUMMYFUNCTION("""COMPUTED_VALUE"""),"Wheat, Dried Herbs &amp; Spices, Sweeteners")</f>
        <v>Wheat, Dried Herbs &amp; Spices, Sweeteners</v>
      </c>
      <c r="F94" s="1"/>
      <c r="G94" s="1"/>
      <c r="H94" s="1" t="s">
        <v>29</v>
      </c>
      <c r="I94" s="1"/>
      <c r="J94" s="1"/>
      <c r="K94" s="1"/>
      <c r="L94" s="1" t="s">
        <v>30</v>
      </c>
      <c r="M94" s="1" t="s">
        <v>19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235</v>
      </c>
      <c r="B95" s="1" t="s">
        <v>14</v>
      </c>
      <c r="C95" s="1" t="s">
        <v>14</v>
      </c>
      <c r="D95" s="1" t="s">
        <v>236</v>
      </c>
      <c r="E95" s="1" t="str">
        <f>IFERROR(__xludf.DUMMYFUNCTION("""COMPUTED_VALUE"""),"Wheat, Gluten-Free Grains, Tree Nuts, Sweeteners")</f>
        <v>Wheat, Gluten-Free Grains, Tree Nuts, Sweeteners</v>
      </c>
      <c r="F95" s="1"/>
      <c r="G95" s="1"/>
      <c r="H95" s="1" t="s">
        <v>17</v>
      </c>
      <c r="I95" s="1" t="s">
        <v>85</v>
      </c>
      <c r="J95" s="1"/>
      <c r="K95" s="1"/>
      <c r="L95" s="1"/>
      <c r="M95" s="1" t="s">
        <v>19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237</v>
      </c>
      <c r="B96" s="1" t="s">
        <v>14</v>
      </c>
      <c r="C96" s="1" t="s">
        <v>14</v>
      </c>
      <c r="D96" s="1" t="s">
        <v>238</v>
      </c>
      <c r="E96" s="1" t="str">
        <f>IFERROR(__xludf.DUMMYFUNCTION("""COMPUTED_VALUE"""),"Wheat")</f>
        <v>Wheat</v>
      </c>
      <c r="F96" s="1"/>
      <c r="G96" s="1"/>
      <c r="H96" s="1" t="s">
        <v>29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239</v>
      </c>
      <c r="B97" s="1" t="s">
        <v>14</v>
      </c>
      <c r="C97" s="1" t="s">
        <v>14</v>
      </c>
      <c r="D97" s="1" t="s">
        <v>240</v>
      </c>
      <c r="E97" s="1" t="str">
        <f>IFERROR(__xludf.DUMMYFUNCTION("""COMPUTED_VALUE"""),"Corn, Nightshades, Alliums, Dried Herbs &amp; Spices, Sweeteners")</f>
        <v>Corn, Nightshades, Alliums, Dried Herbs &amp; Spices, Sweeteners</v>
      </c>
      <c r="F97" s="1"/>
      <c r="G97" s="1"/>
      <c r="H97" s="1" t="s">
        <v>63</v>
      </c>
      <c r="I97" s="1"/>
      <c r="J97" s="1" t="s">
        <v>230</v>
      </c>
      <c r="K97" s="1"/>
      <c r="L97" s="1" t="s">
        <v>30</v>
      </c>
      <c r="M97" s="1" t="s">
        <v>19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241</v>
      </c>
      <c r="B98" s="1" t="s">
        <v>14</v>
      </c>
      <c r="C98" s="1" t="s">
        <v>14</v>
      </c>
      <c r="D98" s="1" t="s">
        <v>242</v>
      </c>
      <c r="E98" s="1" t="str">
        <f>IFERROR(__xludf.DUMMYFUNCTION("""COMPUTED_VALUE"""),"Corn, Nightshades, Alliums, Dried Herbs &amp; Spices, Sweeteners")</f>
        <v>Corn, Nightshades, Alliums, Dried Herbs &amp; Spices, Sweeteners</v>
      </c>
      <c r="F98" s="1"/>
      <c r="G98" s="1"/>
      <c r="H98" s="1" t="s">
        <v>63</v>
      </c>
      <c r="I98" s="1"/>
      <c r="J98" s="1" t="s">
        <v>230</v>
      </c>
      <c r="K98" s="1"/>
      <c r="L98" s="1" t="s">
        <v>30</v>
      </c>
      <c r="M98" s="1" t="s">
        <v>19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243</v>
      </c>
      <c r="B99" s="1" t="s">
        <v>14</v>
      </c>
      <c r="C99" s="1" t="s">
        <v>14</v>
      </c>
      <c r="D99" s="1" t="s">
        <v>244</v>
      </c>
      <c r="E99" s="1" t="str">
        <f>IFERROR(__xludf.DUMMYFUNCTION("""COMPUTED_VALUE"""),"Pork")</f>
        <v>Pork</v>
      </c>
      <c r="F99" s="1" t="s">
        <v>90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245</v>
      </c>
      <c r="B100" s="1" t="s">
        <v>14</v>
      </c>
      <c r="C100" s="1" t="s">
        <v>14</v>
      </c>
      <c r="D100" s="1" t="s">
        <v>246</v>
      </c>
      <c r="E100" s="1" t="str">
        <f>IFERROR(__xludf.DUMMYFUNCTION("""COMPUTED_VALUE"""),"Sweeteners")</f>
        <v>Sweeteners</v>
      </c>
      <c r="F100" s="1"/>
      <c r="G100" s="1"/>
      <c r="H100" s="1"/>
      <c r="I100" s="1"/>
      <c r="J100" s="1"/>
      <c r="K100" s="1"/>
      <c r="L100" s="1"/>
      <c r="M100" s="1" t="s">
        <v>19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247</v>
      </c>
      <c r="B101" s="1" t="s">
        <v>14</v>
      </c>
      <c r="C101" s="1" t="s">
        <v>14</v>
      </c>
      <c r="D101" s="1" t="s">
        <v>248</v>
      </c>
      <c r="E101" s="1" t="str">
        <f>IFERROR(__xludf.DUMMYFUNCTION("""COMPUTED_VALUE"""),"Dairy")</f>
        <v>Dairy</v>
      </c>
      <c r="F101" s="1" t="s">
        <v>16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249</v>
      </c>
      <c r="B102" s="1" t="s">
        <v>14</v>
      </c>
      <c r="C102" s="1" t="s">
        <v>14</v>
      </c>
      <c r="D102" s="1" t="s">
        <v>250</v>
      </c>
      <c r="E102" s="1" t="str">
        <f>IFERROR(__xludf.DUMMYFUNCTION("""COMPUTED_VALUE"""),"Soy")</f>
        <v>Soy</v>
      </c>
      <c r="F102" s="1"/>
      <c r="G102" s="1"/>
      <c r="H102" s="1"/>
      <c r="I102" s="1" t="s">
        <v>18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251</v>
      </c>
      <c r="B103" s="1" t="s">
        <v>14</v>
      </c>
      <c r="C103" s="1" t="s">
        <v>14</v>
      </c>
      <c r="D103" s="1" t="s">
        <v>252</v>
      </c>
      <c r="E103" s="1" t="str">
        <f>IFERROR(__xludf.DUMMYFUNCTION("""COMPUTED_VALUE"""),"Corn")</f>
        <v>Corn</v>
      </c>
      <c r="F103" s="1"/>
      <c r="G103" s="1"/>
      <c r="H103" s="1" t="s">
        <v>63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253</v>
      </c>
      <c r="B104" s="1" t="s">
        <v>14</v>
      </c>
      <c r="C104" s="1" t="s">
        <v>14</v>
      </c>
      <c r="D104" s="1" t="s">
        <v>254</v>
      </c>
      <c r="E104" s="1" t="str">
        <f>IFERROR(__xludf.DUMMYFUNCTION("""COMPUTED_VALUE"""),"Dried Herbs &amp; Spices")</f>
        <v>Dried Herbs &amp; Spices</v>
      </c>
      <c r="F104" s="1"/>
      <c r="G104" s="1"/>
      <c r="H104" s="1"/>
      <c r="I104" s="1"/>
      <c r="J104" s="1"/>
      <c r="K104" s="1"/>
      <c r="L104" s="1" t="s">
        <v>30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255</v>
      </c>
      <c r="B105" s="1" t="s">
        <v>14</v>
      </c>
      <c r="C105" s="1" t="s">
        <v>14</v>
      </c>
      <c r="D105" s="1" t="s">
        <v>256</v>
      </c>
      <c r="E105" s="1" t="str">
        <f>IFERROR(__xludf.DUMMYFUNCTION("""COMPUTED_VALUE"""),"Other")</f>
        <v>Other</v>
      </c>
      <c r="F105" s="1"/>
      <c r="G105" s="1"/>
      <c r="H105" s="1"/>
      <c r="I105" s="1"/>
      <c r="J105" s="1"/>
      <c r="K105" s="1"/>
      <c r="L105" s="1"/>
      <c r="M105" s="1"/>
      <c r="N105" s="1" t="s">
        <v>34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257</v>
      </c>
      <c r="B106" s="1" t="s">
        <v>14</v>
      </c>
      <c r="C106" s="1" t="s">
        <v>14</v>
      </c>
      <c r="D106" s="1" t="s">
        <v>258</v>
      </c>
      <c r="E106" s="1" t="str">
        <f>IFERROR(__xludf.DUMMYFUNCTION("""COMPUTED_VALUE"""),"Dairy, Sweeteners")</f>
        <v>Dairy, Sweeteners</v>
      </c>
      <c r="F106" s="1" t="s">
        <v>16</v>
      </c>
      <c r="G106" s="1"/>
      <c r="H106" s="1"/>
      <c r="I106" s="1"/>
      <c r="J106" s="1"/>
      <c r="K106" s="1"/>
      <c r="L106" s="1"/>
      <c r="M106" s="1" t="s">
        <v>19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259</v>
      </c>
      <c r="B107" s="1" t="s">
        <v>14</v>
      </c>
      <c r="C107" s="1" t="s">
        <v>14</v>
      </c>
      <c r="D107" s="1" t="s">
        <v>260</v>
      </c>
      <c r="E107" s="1" t="str">
        <f>IFERROR(__xludf.DUMMYFUNCTION("""COMPUTED_VALUE"""),"Dairy")</f>
        <v>Dairy</v>
      </c>
      <c r="F107" s="1" t="s">
        <v>16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261</v>
      </c>
      <c r="B108" s="1" t="s">
        <v>13</v>
      </c>
      <c r="C108" s="1" t="s">
        <v>14</v>
      </c>
      <c r="D108" s="1" t="s">
        <v>262</v>
      </c>
      <c r="E108" s="1" t="str">
        <f>IFERROR(__xludf.DUMMYFUNCTION("""COMPUTED_VALUE"""),"Dairy")</f>
        <v>Dairy</v>
      </c>
      <c r="F108" s="1" t="s">
        <v>16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263</v>
      </c>
      <c r="B109" s="1" t="s">
        <v>14</v>
      </c>
      <c r="C109" s="1" t="s">
        <v>14</v>
      </c>
      <c r="D109" s="1" t="s">
        <v>264</v>
      </c>
      <c r="E109" s="1" t="str">
        <f>IFERROR(__xludf.DUMMYFUNCTION("""COMPUTED_VALUE"""),"Dairy, Sweeteners")</f>
        <v>Dairy, Sweeteners</v>
      </c>
      <c r="F109" s="1" t="s">
        <v>16</v>
      </c>
      <c r="G109" s="1"/>
      <c r="H109" s="1"/>
      <c r="I109" s="1"/>
      <c r="J109" s="1"/>
      <c r="K109" s="1"/>
      <c r="L109" s="1"/>
      <c r="M109" s="1" t="s">
        <v>19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265</v>
      </c>
      <c r="B110" s="1" t="s">
        <v>14</v>
      </c>
      <c r="C110" s="1" t="s">
        <v>14</v>
      </c>
      <c r="D110" s="1" t="s">
        <v>266</v>
      </c>
      <c r="E110" s="1" t="str">
        <f>IFERROR(__xludf.DUMMYFUNCTION("""COMPUTED_VALUE"""),"Gluten-Free Grains")</f>
        <v>Gluten-Free Grains</v>
      </c>
      <c r="F110" s="1"/>
      <c r="G110" s="1"/>
      <c r="H110" s="1" t="s">
        <v>33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267</v>
      </c>
      <c r="B111" s="1" t="s">
        <v>14</v>
      </c>
      <c r="C111" s="1" t="s">
        <v>14</v>
      </c>
      <c r="D111" s="1" t="s">
        <v>268</v>
      </c>
      <c r="E111" s="1" t="str">
        <f>IFERROR(__xludf.DUMMYFUNCTION("""COMPUTED_VALUE"""),"Wheat, Sweeteners")</f>
        <v>Wheat, Sweeteners</v>
      </c>
      <c r="F111" s="1"/>
      <c r="G111" s="1"/>
      <c r="H111" s="1" t="s">
        <v>29</v>
      </c>
      <c r="I111" s="1"/>
      <c r="J111" s="1"/>
      <c r="K111" s="1"/>
      <c r="L111" s="1"/>
      <c r="M111" s="1" t="s">
        <v>19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269</v>
      </c>
      <c r="B112" s="1" t="s">
        <v>14</v>
      </c>
      <c r="C112" s="1" t="s">
        <v>14</v>
      </c>
      <c r="D112" s="1" t="s">
        <v>270</v>
      </c>
      <c r="E112" s="1" t="str">
        <f>IFERROR(__xludf.DUMMYFUNCTION("""COMPUTED_VALUE"""),"Corn")</f>
        <v>Corn</v>
      </c>
      <c r="F112" s="1"/>
      <c r="G112" s="1"/>
      <c r="H112" s="1" t="s">
        <v>63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271</v>
      </c>
      <c r="B113" s="1" t="s">
        <v>14</v>
      </c>
      <c r="C113" s="1" t="s">
        <v>14</v>
      </c>
      <c r="D113" s="1" t="s">
        <v>272</v>
      </c>
      <c r="E113" s="1" t="str">
        <f>IFERROR(__xludf.DUMMYFUNCTION("""COMPUTED_VALUE"""),"Wheat")</f>
        <v>Wheat</v>
      </c>
      <c r="F113" s="1"/>
      <c r="G113" s="1"/>
      <c r="H113" s="1" t="s">
        <v>29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273</v>
      </c>
      <c r="B114" s="1" t="s">
        <v>14</v>
      </c>
      <c r="C114" s="1" t="s">
        <v>14</v>
      </c>
      <c r="D114" s="1" t="s">
        <v>274</v>
      </c>
      <c r="E114" s="1" t="str">
        <f>IFERROR(__xludf.DUMMYFUNCTION("""COMPUTED_VALUE"""),"Wheat")</f>
        <v>Wheat</v>
      </c>
      <c r="F114" s="1"/>
      <c r="G114" s="1"/>
      <c r="H114" s="1" t="s">
        <v>29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275</v>
      </c>
      <c r="B115" s="1" t="s">
        <v>14</v>
      </c>
      <c r="C115" s="1" t="s">
        <v>14</v>
      </c>
      <c r="D115" s="1" t="s">
        <v>276</v>
      </c>
      <c r="E115" s="1" t="str">
        <f>IFERROR(__xludf.DUMMYFUNCTION("""COMPUTED_VALUE"""),"Dairy, Soy, Sweeteners")</f>
        <v>Dairy, Soy, Sweeteners</v>
      </c>
      <c r="F115" s="1" t="s">
        <v>16</v>
      </c>
      <c r="G115" s="1"/>
      <c r="H115" s="1"/>
      <c r="I115" s="1" t="s">
        <v>18</v>
      </c>
      <c r="J115" s="1"/>
      <c r="K115" s="1"/>
      <c r="L115" s="1"/>
      <c r="M115" s="1" t="s">
        <v>19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277</v>
      </c>
      <c r="B116" s="1" t="s">
        <v>14</v>
      </c>
      <c r="C116" s="1" t="s">
        <v>14</v>
      </c>
      <c r="D116" s="1" t="s">
        <v>278</v>
      </c>
      <c r="E116" s="1" t="str">
        <f>IFERROR(__xludf.DUMMYFUNCTION("""COMPUTED_VALUE"""),"Dairy, Pork, Wheat, Soy, Nightshades")</f>
        <v>Dairy, Pork, Wheat, Soy, Nightshades</v>
      </c>
      <c r="F116" s="1" t="s">
        <v>279</v>
      </c>
      <c r="G116" s="1"/>
      <c r="H116" s="1" t="s">
        <v>29</v>
      </c>
      <c r="I116" s="1" t="s">
        <v>18</v>
      </c>
      <c r="J116" s="1" t="s">
        <v>125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280</v>
      </c>
      <c r="B117" s="1" t="s">
        <v>14</v>
      </c>
      <c r="C117" s="1" t="s">
        <v>14</v>
      </c>
      <c r="D117" s="1" t="s">
        <v>281</v>
      </c>
      <c r="E117" s="1" t="str">
        <f>IFERROR(__xludf.DUMMYFUNCTION("""COMPUTED_VALUE"""),"Sweeteners, Other")</f>
        <v>Sweeteners, Other</v>
      </c>
      <c r="F117" s="1"/>
      <c r="G117" s="1"/>
      <c r="H117" s="1"/>
      <c r="I117" s="1"/>
      <c r="J117" s="1"/>
      <c r="K117" s="1"/>
      <c r="L117" s="1"/>
      <c r="M117" s="1" t="s">
        <v>19</v>
      </c>
      <c r="N117" s="1" t="s">
        <v>34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282</v>
      </c>
      <c r="B118" s="1" t="s">
        <v>14</v>
      </c>
      <c r="C118" s="1" t="s">
        <v>14</v>
      </c>
      <c r="D118" s="1" t="s">
        <v>283</v>
      </c>
      <c r="E118" s="1" t="str">
        <f>IFERROR(__xludf.DUMMYFUNCTION("""COMPUTED_VALUE"""),"Dairy, Sweeteners")</f>
        <v>Dairy, Sweeteners</v>
      </c>
      <c r="F118" s="1" t="s">
        <v>16</v>
      </c>
      <c r="G118" s="1"/>
      <c r="H118" s="1"/>
      <c r="I118" s="1"/>
      <c r="J118" s="1"/>
      <c r="K118" s="1"/>
      <c r="L118" s="1"/>
      <c r="M118" s="1" t="s">
        <v>19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284</v>
      </c>
      <c r="B119" s="1" t="s">
        <v>13</v>
      </c>
      <c r="C119" s="1" t="s">
        <v>14</v>
      </c>
      <c r="D119" s="1" t="s">
        <v>285</v>
      </c>
      <c r="E119" s="1" t="str">
        <f>IFERROR(__xludf.DUMMYFUNCTION("""COMPUTED_VALUE"""),"Beef, Other")</f>
        <v>Beef, Other</v>
      </c>
      <c r="F119" s="1" t="s">
        <v>54</v>
      </c>
      <c r="G119" s="1"/>
      <c r="H119" s="1"/>
      <c r="I119" s="1"/>
      <c r="J119" s="1"/>
      <c r="K119" s="1"/>
      <c r="L119" s="1"/>
      <c r="M119" s="1"/>
      <c r="N119" s="1" t="s">
        <v>34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286</v>
      </c>
      <c r="B120" s="1" t="s">
        <v>14</v>
      </c>
      <c r="C120" s="1" t="s">
        <v>14</v>
      </c>
      <c r="D120" s="1" t="s">
        <v>287</v>
      </c>
      <c r="E120" s="1" t="str">
        <f>IFERROR(__xludf.DUMMYFUNCTION("""COMPUTED_VALUE"""),"Dairy, Pork, Wheat, Soy, Sweeteners")</f>
        <v>Dairy, Pork, Wheat, Soy, Sweeteners</v>
      </c>
      <c r="F120" s="1" t="s">
        <v>279</v>
      </c>
      <c r="G120" s="1"/>
      <c r="H120" s="1" t="s">
        <v>29</v>
      </c>
      <c r="I120" s="1" t="s">
        <v>18</v>
      </c>
      <c r="J120" s="1"/>
      <c r="K120" s="1"/>
      <c r="L120" s="1"/>
      <c r="M120" s="1" t="s">
        <v>19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288</v>
      </c>
      <c r="B121" s="1" t="s">
        <v>14</v>
      </c>
      <c r="C121" s="1" t="s">
        <v>14</v>
      </c>
      <c r="D121" s="1" t="s">
        <v>289</v>
      </c>
      <c r="E121" s="1" t="str">
        <f>IFERROR(__xludf.DUMMYFUNCTION("""COMPUTED_VALUE"""),"Dairy, Pork, Wheat, Soy, Sweeteners")</f>
        <v>Dairy, Pork, Wheat, Soy, Sweeteners</v>
      </c>
      <c r="F121" s="1" t="s">
        <v>279</v>
      </c>
      <c r="G121" s="1"/>
      <c r="H121" s="1" t="s">
        <v>29</v>
      </c>
      <c r="I121" s="1" t="s">
        <v>18</v>
      </c>
      <c r="J121" s="1"/>
      <c r="K121" s="1"/>
      <c r="L121" s="1"/>
      <c r="M121" s="1" t="s">
        <v>19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290</v>
      </c>
      <c r="B122" s="1" t="s">
        <v>14</v>
      </c>
      <c r="C122" s="1" t="s">
        <v>14</v>
      </c>
      <c r="D122" s="1" t="s">
        <v>291</v>
      </c>
      <c r="E122" s="1" t="str">
        <f>IFERROR(__xludf.DUMMYFUNCTION("""COMPUTED_VALUE"""),"Gluten-Free Grains")</f>
        <v>Gluten-Free Grains</v>
      </c>
      <c r="F122" s="1"/>
      <c r="G122" s="1"/>
      <c r="H122" s="1" t="s">
        <v>33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292</v>
      </c>
      <c r="B123" s="1" t="s">
        <v>14</v>
      </c>
      <c r="C123" s="1" t="s">
        <v>14</v>
      </c>
      <c r="D123" s="1" t="s">
        <v>293</v>
      </c>
      <c r="E123" s="1" t="str">
        <f>IFERROR(__xludf.DUMMYFUNCTION("""COMPUTED_VALUE"""),"Dairy, Sweeteners")</f>
        <v>Dairy, Sweeteners</v>
      </c>
      <c r="F123" s="1" t="s">
        <v>16</v>
      </c>
      <c r="G123" s="1"/>
      <c r="H123" s="1"/>
      <c r="I123" s="1"/>
      <c r="J123" s="1"/>
      <c r="K123" s="1"/>
      <c r="L123" s="1"/>
      <c r="M123" s="1" t="s">
        <v>19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294</v>
      </c>
      <c r="B124" s="1" t="s">
        <v>14</v>
      </c>
      <c r="C124" s="1" t="s">
        <v>14</v>
      </c>
      <c r="D124" s="1" t="s">
        <v>295</v>
      </c>
      <c r="E124" s="1" t="str">
        <f>IFERROR(__xludf.DUMMYFUNCTION("""COMPUTED_VALUE"""),"Alcohol, Sweeteners, Other")</f>
        <v>Alcohol, Sweeteners, Other</v>
      </c>
      <c r="F124" s="1"/>
      <c r="G124" s="1"/>
      <c r="H124" s="1"/>
      <c r="I124" s="1"/>
      <c r="J124" s="1"/>
      <c r="K124" s="1"/>
      <c r="L124" s="1"/>
      <c r="M124" s="1" t="s">
        <v>296</v>
      </c>
      <c r="N124" s="1" t="s">
        <v>34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297</v>
      </c>
      <c r="B125" s="1" t="s">
        <v>14</v>
      </c>
      <c r="C125" s="1" t="s">
        <v>72</v>
      </c>
      <c r="D125" s="1" t="s">
        <v>298</v>
      </c>
      <c r="E125" s="1" t="str">
        <f>IFERROR(__xludf.DUMMYFUNCTION("""COMPUTED_VALUE"""),"Tree Nuts, Sweeteners, Other")</f>
        <v>Tree Nuts, Sweeteners, Other</v>
      </c>
      <c r="F125" s="1"/>
      <c r="G125" s="1"/>
      <c r="H125" s="1"/>
      <c r="I125" s="1" t="s">
        <v>85</v>
      </c>
      <c r="J125" s="1"/>
      <c r="K125" s="1"/>
      <c r="L125" s="1"/>
      <c r="M125" s="1" t="s">
        <v>19</v>
      </c>
      <c r="N125" s="1" t="s">
        <v>34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299</v>
      </c>
      <c r="B126" s="1" t="s">
        <v>14</v>
      </c>
      <c r="C126" s="1" t="s">
        <v>14</v>
      </c>
      <c r="D126" s="1" t="s">
        <v>300</v>
      </c>
      <c r="E126" s="1" t="str">
        <f>IFERROR(__xludf.DUMMYFUNCTION("""COMPUTED_VALUE"""),"Alliums, Dried Herbs &amp; Spices, Sweeteners")</f>
        <v>Alliums, Dried Herbs &amp; Spices, Sweeteners</v>
      </c>
      <c r="F126" s="1"/>
      <c r="G126" s="1"/>
      <c r="H126" s="1"/>
      <c r="I126" s="1"/>
      <c r="J126" s="1" t="s">
        <v>64</v>
      </c>
      <c r="K126" s="1"/>
      <c r="L126" s="1" t="s">
        <v>30</v>
      </c>
      <c r="M126" s="1" t="s">
        <v>19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301</v>
      </c>
      <c r="B127" s="1" t="s">
        <v>14</v>
      </c>
      <c r="C127" s="1" t="s">
        <v>14</v>
      </c>
      <c r="D127" s="1" t="s">
        <v>302</v>
      </c>
      <c r="E127" s="1" t="str">
        <f>IFERROR(__xludf.DUMMYFUNCTION("""COMPUTED_VALUE"""),"Gluten-Free Grains, Wheat, Corn, Tree Nuts, Dried Herbs &amp; Spices, Sweeteners")</f>
        <v>Gluten-Free Grains, Wheat, Corn, Tree Nuts, Dried Herbs &amp; Spices, Sweeteners</v>
      </c>
      <c r="F127" s="1"/>
      <c r="G127" s="1"/>
      <c r="H127" s="1" t="s">
        <v>303</v>
      </c>
      <c r="I127" s="1" t="s">
        <v>85</v>
      </c>
      <c r="J127" s="1"/>
      <c r="K127" s="1"/>
      <c r="L127" s="1" t="s">
        <v>30</v>
      </c>
      <c r="M127" s="1" t="s">
        <v>19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304</v>
      </c>
      <c r="B128" s="1" t="s">
        <v>14</v>
      </c>
      <c r="C128" s="1" t="s">
        <v>14</v>
      </c>
      <c r="D128" s="1" t="s">
        <v>305</v>
      </c>
      <c r="E128" s="1" t="str">
        <f>IFERROR(__xludf.DUMMYFUNCTION("""COMPUTED_VALUE"""),"Gluten-Free Grains, Other")</f>
        <v>Gluten-Free Grains, Other</v>
      </c>
      <c r="F128" s="1"/>
      <c r="G128" s="1"/>
      <c r="H128" s="1" t="s">
        <v>33</v>
      </c>
      <c r="I128" s="1"/>
      <c r="J128" s="1"/>
      <c r="K128" s="1"/>
      <c r="L128" s="1"/>
      <c r="M128" s="1"/>
      <c r="N128" s="1" t="s">
        <v>34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306</v>
      </c>
      <c r="B129" s="1" t="s">
        <v>14</v>
      </c>
      <c r="C129" s="1" t="s">
        <v>14</v>
      </c>
      <c r="D129" s="1" t="s">
        <v>307</v>
      </c>
      <c r="E129" s="1" t="str">
        <f>IFERROR(__xludf.DUMMYFUNCTION("""COMPUTED_VALUE"""),"Dairy, Wheat, Soy, Dried Herbs &amp; Spices, Sweeteners")</f>
        <v>Dairy, Wheat, Soy, Dried Herbs &amp; Spices, Sweeteners</v>
      </c>
      <c r="F129" s="1" t="s">
        <v>16</v>
      </c>
      <c r="G129" s="1"/>
      <c r="H129" s="1" t="s">
        <v>29</v>
      </c>
      <c r="I129" s="1" t="s">
        <v>18</v>
      </c>
      <c r="J129" s="1"/>
      <c r="K129" s="1"/>
      <c r="L129" s="1" t="s">
        <v>30</v>
      </c>
      <c r="M129" s="1" t="s">
        <v>19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308</v>
      </c>
      <c r="B130" s="1" t="s">
        <v>14</v>
      </c>
      <c r="C130" s="1" t="s">
        <v>14</v>
      </c>
      <c r="D130" s="1" t="s">
        <v>309</v>
      </c>
      <c r="E130" s="1" t="str">
        <f>IFERROR(__xludf.DUMMYFUNCTION("""COMPUTED_VALUE"""),"Dairy, Eggs, Dried Herbs &amp; Spices, Sweeteners")</f>
        <v>Dairy, Eggs, Dried Herbs &amp; Spices, Sweeteners</v>
      </c>
      <c r="F130" s="1" t="s">
        <v>84</v>
      </c>
      <c r="G130" s="1"/>
      <c r="H130" s="1"/>
      <c r="I130" s="1"/>
      <c r="J130" s="1"/>
      <c r="K130" s="1"/>
      <c r="L130" s="1" t="s">
        <v>30</v>
      </c>
      <c r="M130" s="1" t="s">
        <v>19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310</v>
      </c>
      <c r="B131" s="1" t="s">
        <v>14</v>
      </c>
      <c r="C131" s="1" t="s">
        <v>14</v>
      </c>
      <c r="D131" s="1" t="s">
        <v>311</v>
      </c>
      <c r="E131" s="1" t="str">
        <f>IFERROR(__xludf.DUMMYFUNCTION("""COMPUTED_VALUE"""),"Caffeine")</f>
        <v>Caffeine</v>
      </c>
      <c r="F131" s="1"/>
      <c r="G131" s="1"/>
      <c r="H131" s="1"/>
      <c r="I131" s="1"/>
      <c r="J131" s="1"/>
      <c r="K131" s="1"/>
      <c r="L131" s="1"/>
      <c r="M131" s="1" t="s">
        <v>312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313</v>
      </c>
      <c r="B132" s="1" t="s">
        <v>14</v>
      </c>
      <c r="C132" s="1" t="s">
        <v>14</v>
      </c>
      <c r="D132" s="1" t="s">
        <v>314</v>
      </c>
      <c r="E132" s="1" t="str">
        <f>IFERROR(__xludf.DUMMYFUNCTION("""COMPUTED_VALUE"""),"Dairy, Sweeteners")</f>
        <v>Dairy, Sweeteners</v>
      </c>
      <c r="F132" s="1" t="s">
        <v>16</v>
      </c>
      <c r="G132" s="1"/>
      <c r="H132" s="1"/>
      <c r="I132" s="1"/>
      <c r="J132" s="1"/>
      <c r="K132" s="1"/>
      <c r="L132" s="1"/>
      <c r="M132" s="1" t="s">
        <v>19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315</v>
      </c>
      <c r="B133" s="1" t="s">
        <v>14</v>
      </c>
      <c r="C133" s="1" t="s">
        <v>14</v>
      </c>
      <c r="D133" s="1" t="s">
        <v>316</v>
      </c>
      <c r="E133" s="1" t="str">
        <f>IFERROR(__xludf.DUMMYFUNCTION("""COMPUTED_VALUE"""),"Wheat, Other")</f>
        <v>Wheat, Other</v>
      </c>
      <c r="F133" s="1"/>
      <c r="G133" s="1"/>
      <c r="H133" s="1" t="s">
        <v>29</v>
      </c>
      <c r="I133" s="1"/>
      <c r="J133" s="1"/>
      <c r="K133" s="1"/>
      <c r="L133" s="1"/>
      <c r="M133" s="1"/>
      <c r="N133" s="1" t="s">
        <v>34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317</v>
      </c>
      <c r="B134" s="1" t="s">
        <v>14</v>
      </c>
      <c r="C134" s="1" t="s">
        <v>14</v>
      </c>
      <c r="D134" s="1" t="s">
        <v>318</v>
      </c>
      <c r="E134" s="1" t="str">
        <f>IFERROR(__xludf.DUMMYFUNCTION("""COMPUTED_VALUE"""),"Dairy, Soy, Sweeteners")</f>
        <v>Dairy, Soy, Sweeteners</v>
      </c>
      <c r="F134" s="1" t="s">
        <v>16</v>
      </c>
      <c r="G134" s="1"/>
      <c r="H134" s="1"/>
      <c r="I134" s="1" t="s">
        <v>18</v>
      </c>
      <c r="J134" s="1"/>
      <c r="K134" s="1"/>
      <c r="L134" s="1"/>
      <c r="M134" s="1" t="s">
        <v>19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319</v>
      </c>
      <c r="B135" s="1" t="s">
        <v>14</v>
      </c>
      <c r="C135" s="1" t="s">
        <v>14</v>
      </c>
      <c r="D135" s="1" t="s">
        <v>320</v>
      </c>
      <c r="E135" s="1" t="str">
        <f>IFERROR(__xludf.DUMMYFUNCTION("""COMPUTED_VALUE"""),"Dried Herbs &amp; Spices, Sweeteners")</f>
        <v>Dried Herbs &amp; Spices, Sweeteners</v>
      </c>
      <c r="F135" s="1"/>
      <c r="G135" s="1"/>
      <c r="H135" s="1"/>
      <c r="I135" s="1"/>
      <c r="J135" s="1"/>
      <c r="K135" s="1"/>
      <c r="L135" s="1" t="s">
        <v>30</v>
      </c>
      <c r="M135" s="1" t="s">
        <v>19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321</v>
      </c>
      <c r="B136" s="1" t="s">
        <v>14</v>
      </c>
      <c r="C136" s="1" t="s">
        <v>14</v>
      </c>
      <c r="D136" s="1" t="s">
        <v>322</v>
      </c>
      <c r="E136" s="1" t="str">
        <f>IFERROR(__xludf.DUMMYFUNCTION("""COMPUTED_VALUE"""),"Sweeteners, Other")</f>
        <v>Sweeteners, Other</v>
      </c>
      <c r="F136" s="1"/>
      <c r="G136" s="1"/>
      <c r="H136" s="1"/>
      <c r="I136" s="1"/>
      <c r="J136" s="1"/>
      <c r="K136" s="1"/>
      <c r="L136" s="1"/>
      <c r="M136" s="1" t="s">
        <v>19</v>
      </c>
      <c r="N136" s="1" t="s">
        <v>34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323</v>
      </c>
      <c r="B137" s="1" t="s">
        <v>14</v>
      </c>
      <c r="C137" s="1" t="s">
        <v>14</v>
      </c>
      <c r="D137" s="1" t="s">
        <v>324</v>
      </c>
      <c r="E137" s="1" t="str">
        <f>IFERROR(__xludf.DUMMYFUNCTION("""COMPUTED_VALUE"""),"Gluten-Free Grains, Dried Herbs &amp; Spices, Sweeteners")</f>
        <v>Gluten-Free Grains, Dried Herbs &amp; Spices, Sweeteners</v>
      </c>
      <c r="F137" s="1"/>
      <c r="G137" s="1"/>
      <c r="H137" s="1" t="s">
        <v>33</v>
      </c>
      <c r="I137" s="1"/>
      <c r="J137" s="1"/>
      <c r="K137" s="1"/>
      <c r="L137" s="1" t="s">
        <v>30</v>
      </c>
      <c r="M137" s="1" t="s">
        <v>19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325</v>
      </c>
      <c r="B138" s="1" t="s">
        <v>14</v>
      </c>
      <c r="C138" s="1" t="s">
        <v>14</v>
      </c>
      <c r="D138" s="1" t="s">
        <v>326</v>
      </c>
      <c r="E138" s="1" t="str">
        <f>IFERROR(__xludf.DUMMYFUNCTION("""COMPUTED_VALUE"""),"Dried Herbs &amp; Spices, Sweeteners")</f>
        <v>Dried Herbs &amp; Spices, Sweeteners</v>
      </c>
      <c r="F138" s="1"/>
      <c r="G138" s="1"/>
      <c r="H138" s="1"/>
      <c r="I138" s="1"/>
      <c r="J138" s="1"/>
      <c r="K138" s="1"/>
      <c r="L138" s="1" t="s">
        <v>30</v>
      </c>
      <c r="M138" s="1" t="s">
        <v>19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 t="s">
        <v>13</v>
      </c>
      <c r="C139" s="1" t="s">
        <v>13</v>
      </c>
      <c r="D139" s="1" t="s">
        <v>327</v>
      </c>
      <c r="E139" s="1" t="str">
        <f>IFERROR(__xludf.DUMMYFUNCTION("""COMPUTED_VALUE"""),"Non-Dairy Milk")</f>
        <v>Non-Dairy Milk</v>
      </c>
      <c r="F139" s="1"/>
      <c r="G139" s="1" t="s">
        <v>328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 t="s">
        <v>13</v>
      </c>
      <c r="C140" s="1" t="s">
        <v>13</v>
      </c>
      <c r="D140" s="1" t="s">
        <v>329</v>
      </c>
      <c r="E140" s="1" t="str">
        <f>IFERROR(__xludf.DUMMYFUNCTION("""COMPUTED_VALUE"""),"Beans, Soy, Nightshades, Cruciferous, Mushrooms, Dried Herbs &amp; Spices")</f>
        <v>Beans, Soy, Nightshades, Cruciferous, Mushrooms, Dried Herbs &amp; Spices</v>
      </c>
      <c r="F140" s="1"/>
      <c r="G140" s="1"/>
      <c r="H140" s="1"/>
      <c r="I140" s="1" t="s">
        <v>330</v>
      </c>
      <c r="J140" s="1" t="s">
        <v>331</v>
      </c>
      <c r="K140" s="1"/>
      <c r="L140" s="1" t="s">
        <v>30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 t="s">
        <v>13</v>
      </c>
      <c r="C141" s="1" t="s">
        <v>13</v>
      </c>
      <c r="D141" s="1" t="s">
        <v>332</v>
      </c>
      <c r="E141" s="1" t="str">
        <f>IFERROR(__xludf.DUMMYFUNCTION("""COMPUTED_VALUE"""),"Corn, Soy, Mushrooms, Sweeteners")</f>
        <v>Corn, Soy, Mushrooms, Sweeteners</v>
      </c>
      <c r="F141" s="1"/>
      <c r="G141" s="1"/>
      <c r="H141" s="1" t="s">
        <v>63</v>
      </c>
      <c r="I141" s="1" t="s">
        <v>18</v>
      </c>
      <c r="J141" s="1" t="s">
        <v>333</v>
      </c>
      <c r="K141" s="1"/>
      <c r="L141" s="1"/>
      <c r="M141" s="1" t="s">
        <v>19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 t="s">
        <v>13</v>
      </c>
      <c r="C142" s="1" t="s">
        <v>13</v>
      </c>
      <c r="D142" s="1" t="s">
        <v>334</v>
      </c>
      <c r="E142" s="1" t="str">
        <f>IFERROR(__xludf.DUMMYFUNCTION("""COMPUTED_VALUE"""),"Gluten-Free Grains")</f>
        <v>Gluten-Free Grains</v>
      </c>
      <c r="F142" s="1"/>
      <c r="G142" s="1"/>
      <c r="H142" s="1" t="s">
        <v>33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 t="s">
        <v>13</v>
      </c>
      <c r="C143" s="1" t="s">
        <v>13</v>
      </c>
      <c r="D143" s="1" t="s">
        <v>335</v>
      </c>
      <c r="E143" s="1" t="str">
        <f>IFERROR(__xludf.DUMMYFUNCTION("""COMPUTED_VALUE"""),"Tropical Fruits, Sweeteners, Caffeine")</f>
        <v>Tropical Fruits, Sweeteners, Caffeine</v>
      </c>
      <c r="F143" s="1"/>
      <c r="G143" s="1"/>
      <c r="H143" s="1"/>
      <c r="I143" s="1"/>
      <c r="J143" s="1"/>
      <c r="K143" s="1" t="s">
        <v>336</v>
      </c>
      <c r="L143" s="1"/>
      <c r="M143" s="1" t="s">
        <v>337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 t="s">
        <v>13</v>
      </c>
      <c r="C144" s="1" t="s">
        <v>13</v>
      </c>
      <c r="D144" s="1" t="s">
        <v>338</v>
      </c>
      <c r="E144" s="1" t="str">
        <f>IFERROR(__xludf.DUMMYFUNCTION("""COMPUTED_VALUE"""),"Soy, Tree Nuts, Citrus, Dried Herbs &amp; Spices")</f>
        <v>Soy, Tree Nuts, Citrus, Dried Herbs &amp; Spices</v>
      </c>
      <c r="F144" s="1"/>
      <c r="G144" s="1"/>
      <c r="H144" s="1"/>
      <c r="I144" s="1" t="s">
        <v>81</v>
      </c>
      <c r="J144" s="1"/>
      <c r="K144" s="1" t="s">
        <v>65</v>
      </c>
      <c r="L144" s="1" t="s">
        <v>30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 t="s">
        <v>13</v>
      </c>
      <c r="C145" s="1" t="s">
        <v>13</v>
      </c>
      <c r="D145" s="1" t="s">
        <v>339</v>
      </c>
      <c r="E145" s="1" t="str">
        <f>IFERROR(__xludf.DUMMYFUNCTION("""COMPUTED_VALUE"""),"Berries")</f>
        <v>Berries</v>
      </c>
      <c r="F145" s="1"/>
      <c r="G145" s="1"/>
      <c r="H145" s="1"/>
      <c r="I145" s="1"/>
      <c r="J145" s="1"/>
      <c r="K145" s="1" t="s">
        <v>340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 t="s">
        <v>13</v>
      </c>
      <c r="C146" s="1" t="s">
        <v>13</v>
      </c>
      <c r="D146" s="1" t="s">
        <v>341</v>
      </c>
      <c r="E146" s="1" t="str">
        <f>IFERROR(__xludf.DUMMYFUNCTION("""COMPUTED_VALUE"""),"Gluten-Free Grains, Potatoes, Dried Herbs &amp; Spices, Sweeteners")</f>
        <v>Gluten-Free Grains, Potatoes, Dried Herbs &amp; Spices, Sweeteners</v>
      </c>
      <c r="F146" s="1"/>
      <c r="G146" s="1"/>
      <c r="H146" s="1" t="s">
        <v>342</v>
      </c>
      <c r="I146" s="1"/>
      <c r="J146" s="1"/>
      <c r="K146" s="1"/>
      <c r="L146" s="1" t="s">
        <v>30</v>
      </c>
      <c r="M146" s="1" t="s">
        <v>19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 t="s">
        <v>13</v>
      </c>
      <c r="C147" s="1" t="s">
        <v>13</v>
      </c>
      <c r="D147" s="1" t="s">
        <v>343</v>
      </c>
      <c r="E147" s="1" t="str">
        <f>IFERROR(__xludf.DUMMYFUNCTION("""COMPUTED_VALUE"""),"Non-Dairy Milk, Soy")</f>
        <v>Non-Dairy Milk, Soy</v>
      </c>
      <c r="F147" s="1"/>
      <c r="G147" s="1" t="s">
        <v>328</v>
      </c>
      <c r="H147" s="1"/>
      <c r="I147" s="1" t="s">
        <v>18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 t="s">
        <v>13</v>
      </c>
      <c r="C148" s="1" t="s">
        <v>13</v>
      </c>
      <c r="D148" s="1" t="s">
        <v>344</v>
      </c>
      <c r="E148" s="1" t="str">
        <f>IFERROR(__xludf.DUMMYFUNCTION("""COMPUTED_VALUE"""),"Beans, Soy, Sweeteners")</f>
        <v>Beans, Soy, Sweeteners</v>
      </c>
      <c r="F148" s="1"/>
      <c r="G148" s="1"/>
      <c r="H148" s="1"/>
      <c r="I148" s="1" t="s">
        <v>330</v>
      </c>
      <c r="J148" s="1"/>
      <c r="K148" s="1"/>
      <c r="L148" s="1"/>
      <c r="M148" s="1" t="s">
        <v>19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 t="s">
        <v>13</v>
      </c>
      <c r="C149" s="1" t="s">
        <v>13</v>
      </c>
      <c r="D149" s="1" t="s">
        <v>345</v>
      </c>
      <c r="E149" s="1" t="str">
        <f>IFERROR(__xludf.DUMMYFUNCTION("""COMPUTED_VALUE"""),"Soy, Tree Nuts, Citrus")</f>
        <v>Soy, Tree Nuts, Citrus</v>
      </c>
      <c r="F149" s="1"/>
      <c r="G149" s="1"/>
      <c r="H149" s="1"/>
      <c r="I149" s="1" t="s">
        <v>81</v>
      </c>
      <c r="J149" s="1"/>
      <c r="K149" s="1" t="s">
        <v>65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 t="s">
        <v>13</v>
      </c>
      <c r="C150" s="1" t="s">
        <v>13</v>
      </c>
      <c r="D150" s="1" t="s">
        <v>346</v>
      </c>
      <c r="E150" s="1" t="str">
        <f>IFERROR(__xludf.DUMMYFUNCTION("""COMPUTED_VALUE"""),"Soy, Citrus")</f>
        <v>Soy, Citrus</v>
      </c>
      <c r="F150" s="1"/>
      <c r="G150" s="1"/>
      <c r="H150" s="1"/>
      <c r="I150" s="1" t="s">
        <v>18</v>
      </c>
      <c r="J150" s="1"/>
      <c r="K150" s="1" t="s">
        <v>65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 t="s">
        <v>13</v>
      </c>
      <c r="C151" s="1" t="s">
        <v>13</v>
      </c>
      <c r="D151" s="1" t="s">
        <v>347</v>
      </c>
      <c r="E151" s="1" t="str">
        <f>IFERROR(__xludf.DUMMYFUNCTION("""COMPUTED_VALUE"""),"Tree Nuts, Soy, Alliums, Citrus, Sweeteners")</f>
        <v>Tree Nuts, Soy, Alliums, Citrus, Sweeteners</v>
      </c>
      <c r="F151" s="1"/>
      <c r="G151" s="1"/>
      <c r="H151" s="1"/>
      <c r="I151" s="1" t="s">
        <v>142</v>
      </c>
      <c r="J151" s="1" t="s">
        <v>64</v>
      </c>
      <c r="K151" s="1" t="s">
        <v>65</v>
      </c>
      <c r="L151" s="1"/>
      <c r="M151" s="1" t="s">
        <v>19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 t="s">
        <v>13</v>
      </c>
      <c r="C152" s="1" t="s">
        <v>13</v>
      </c>
      <c r="D152" s="1" t="s">
        <v>348</v>
      </c>
      <c r="E152" s="1" t="str">
        <f>IFERROR(__xludf.DUMMYFUNCTION("""COMPUTED_VALUE"""),"Soy, Tree Nuts, Sweeteners")</f>
        <v>Soy, Tree Nuts, Sweeteners</v>
      </c>
      <c r="F152" s="1"/>
      <c r="G152" s="1"/>
      <c r="H152" s="1"/>
      <c r="I152" s="1" t="s">
        <v>81</v>
      </c>
      <c r="J152" s="1"/>
      <c r="K152" s="1"/>
      <c r="L152" s="1"/>
      <c r="M152" s="1" t="s">
        <v>19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 t="s">
        <v>13</v>
      </c>
      <c r="C153" s="1" t="s">
        <v>13</v>
      </c>
      <c r="D153" s="1" t="s">
        <v>349</v>
      </c>
      <c r="E153" s="1" t="str">
        <f>IFERROR(__xludf.DUMMYFUNCTION("""COMPUTED_VALUE"""),"Nightshades, Alliums, Spicy, Dried Herbs &amp; Spices, Sweeteners")</f>
        <v>Nightshades, Alliums, Spicy, Dried Herbs &amp; Spices, Sweeteners</v>
      </c>
      <c r="F153" s="1"/>
      <c r="G153" s="1"/>
      <c r="H153" s="1"/>
      <c r="I153" s="1"/>
      <c r="J153" s="1" t="s">
        <v>230</v>
      </c>
      <c r="K153" s="1"/>
      <c r="L153" s="1" t="s">
        <v>37</v>
      </c>
      <c r="M153" s="1" t="s">
        <v>19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 t="s">
        <v>13</v>
      </c>
      <c r="C154" s="1" t="s">
        <v>13</v>
      </c>
      <c r="D154" s="1" t="s">
        <v>350</v>
      </c>
      <c r="E154" s="1" t="str">
        <f>IFERROR(__xludf.DUMMYFUNCTION("""COMPUTED_VALUE"""),"Gluten-Free Grains, Beans")</f>
        <v>Gluten-Free Grains, Beans</v>
      </c>
      <c r="F154" s="1"/>
      <c r="G154" s="1"/>
      <c r="H154" s="1" t="s">
        <v>33</v>
      </c>
      <c r="I154" s="1" t="s">
        <v>351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 t="s">
        <v>13</v>
      </c>
      <c r="C155" s="1" t="s">
        <v>13</v>
      </c>
      <c r="D155" s="1" t="s">
        <v>352</v>
      </c>
      <c r="E155" s="1" t="str">
        <f>IFERROR(__xludf.DUMMYFUNCTION("""COMPUTED_VALUE"""),"Soy, Alliums, Citrus, Dried Herbs &amp; Spices, Sweeteners")</f>
        <v>Soy, Alliums, Citrus, Dried Herbs &amp; Spices, Sweeteners</v>
      </c>
      <c r="F155" s="1"/>
      <c r="G155" s="1"/>
      <c r="H155" s="1"/>
      <c r="I155" s="1" t="s">
        <v>18</v>
      </c>
      <c r="J155" s="1" t="s">
        <v>64</v>
      </c>
      <c r="K155" s="1" t="s">
        <v>65</v>
      </c>
      <c r="L155" s="1" t="s">
        <v>30</v>
      </c>
      <c r="M155" s="1" t="s">
        <v>19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 t="s">
        <v>13</v>
      </c>
      <c r="C156" s="1" t="s">
        <v>13</v>
      </c>
      <c r="D156" s="1" t="s">
        <v>353</v>
      </c>
      <c r="E156" s="1" t="str">
        <f>IFERROR(__xludf.DUMMYFUNCTION("""COMPUTED_VALUE"""),"Gluten-Free Grains")</f>
        <v>Gluten-Free Grains</v>
      </c>
      <c r="F156" s="1"/>
      <c r="G156" s="1"/>
      <c r="H156" s="1" t="s">
        <v>33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 t="s">
        <v>13</v>
      </c>
      <c r="C157" s="1" t="s">
        <v>13</v>
      </c>
      <c r="D157" s="1" t="s">
        <v>354</v>
      </c>
      <c r="E157" s="1" t="str">
        <f>IFERROR(__xludf.DUMMYFUNCTION("""COMPUTED_VALUE"""),"Non-Dairy Milk, Tree Nuts")</f>
        <v>Non-Dairy Milk, Tree Nuts</v>
      </c>
      <c r="F157" s="1"/>
      <c r="G157" s="1" t="s">
        <v>328</v>
      </c>
      <c r="H157" s="1"/>
      <c r="I157" s="1" t="s">
        <v>85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 t="s">
        <v>13</v>
      </c>
      <c r="C158" s="1" t="s">
        <v>13</v>
      </c>
      <c r="D158" s="1" t="s">
        <v>355</v>
      </c>
      <c r="E158" s="1" t="str">
        <f>IFERROR(__xludf.DUMMYFUNCTION("""COMPUTED_VALUE"""),"Non-Dairy Cheese, Tree Nuts, Alliums")</f>
        <v>Non-Dairy Cheese, Tree Nuts, Alliums</v>
      </c>
      <c r="F158" s="1"/>
      <c r="G158" s="1" t="s">
        <v>356</v>
      </c>
      <c r="H158" s="1"/>
      <c r="I158" s="1" t="s">
        <v>85</v>
      </c>
      <c r="J158" s="1" t="s">
        <v>64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 t="s">
        <v>13</v>
      </c>
      <c r="C159" s="1" t="s">
        <v>13</v>
      </c>
      <c r="D159" s="1" t="s">
        <v>357</v>
      </c>
      <c r="E159" s="1" t="str">
        <f>IFERROR(__xludf.DUMMYFUNCTION("""COMPUTED_VALUE"""),"Gluten-Free Grains, Beans, Alliums")</f>
        <v>Gluten-Free Grains, Beans, Alliums</v>
      </c>
      <c r="F159" s="1"/>
      <c r="G159" s="1"/>
      <c r="H159" s="1" t="s">
        <v>33</v>
      </c>
      <c r="I159" s="1" t="s">
        <v>351</v>
      </c>
      <c r="J159" s="1" t="s">
        <v>64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 t="s">
        <v>13</v>
      </c>
      <c r="C160" s="1" t="s">
        <v>13</v>
      </c>
      <c r="D160" s="1" t="s">
        <v>358</v>
      </c>
      <c r="E160" s="1" t="str">
        <f>IFERROR(__xludf.DUMMYFUNCTION("""COMPUTED_VALUE"""),"Non-Dairy Milk, Mushrooms, Alliums, Nightshades, Citrus, Dried Herbs &amp; Spices, Sweeteners")</f>
        <v>Non-Dairy Milk, Mushrooms, Alliums, Nightshades, Citrus, Dried Herbs &amp; Spices, Sweeteners</v>
      </c>
      <c r="F160" s="1"/>
      <c r="G160" s="1" t="s">
        <v>328</v>
      </c>
      <c r="H160" s="1"/>
      <c r="I160" s="1"/>
      <c r="J160" s="1" t="s">
        <v>359</v>
      </c>
      <c r="K160" s="1" t="s">
        <v>65</v>
      </c>
      <c r="L160" s="1" t="s">
        <v>30</v>
      </c>
      <c r="M160" s="1" t="s">
        <v>19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 t="s">
        <v>13</v>
      </c>
      <c r="C161" s="1" t="s">
        <v>13</v>
      </c>
      <c r="D161" s="1" t="s">
        <v>360</v>
      </c>
      <c r="E161" s="1" t="str">
        <f>IFERROR(__xludf.DUMMYFUNCTION("""COMPUTED_VALUE"""),"Dairy, Corn, Mushrooms, Alliums, Dried Herbs &amp; Spices, Sweeteners")</f>
        <v>Dairy, Corn, Mushrooms, Alliums, Dried Herbs &amp; Spices, Sweeteners</v>
      </c>
      <c r="F161" s="1" t="s">
        <v>16</v>
      </c>
      <c r="G161" s="1"/>
      <c r="H161" s="1" t="s">
        <v>63</v>
      </c>
      <c r="I161" s="1"/>
      <c r="J161" s="1" t="s">
        <v>361</v>
      </c>
      <c r="K161" s="1"/>
      <c r="L161" s="1" t="s">
        <v>30</v>
      </c>
      <c r="M161" s="1" t="s">
        <v>19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 t="s">
        <v>13</v>
      </c>
      <c r="C162" s="1" t="s">
        <v>13</v>
      </c>
      <c r="D162" s="1" t="s">
        <v>362</v>
      </c>
      <c r="E162" s="1" t="str">
        <f>IFERROR(__xludf.DUMMYFUNCTION("""COMPUTED_VALUE"""),"Beans, Dried Herbs &amp; Spices")</f>
        <v>Beans, Dried Herbs &amp; Spices</v>
      </c>
      <c r="F162" s="1"/>
      <c r="G162" s="1"/>
      <c r="H162" s="1"/>
      <c r="I162" s="1" t="s">
        <v>351</v>
      </c>
      <c r="J162" s="1"/>
      <c r="K162" s="1"/>
      <c r="L162" s="1" t="s">
        <v>30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 t="s">
        <v>13</v>
      </c>
      <c r="C163" s="1" t="s">
        <v>13</v>
      </c>
      <c r="D163" s="1" t="s">
        <v>363</v>
      </c>
      <c r="E163" s="1" t="str">
        <f>IFERROR(__xludf.DUMMYFUNCTION("""COMPUTED_VALUE"""),"Dairy, Corn, Mushrooms, Alliums, Tropical Fruits, Dried Herbs &amp; Spices, Sweeteners")</f>
        <v>Dairy, Corn, Mushrooms, Alliums, Tropical Fruits, Dried Herbs &amp; Spices, Sweeteners</v>
      </c>
      <c r="F163" s="1" t="s">
        <v>16</v>
      </c>
      <c r="G163" s="1"/>
      <c r="H163" s="1" t="s">
        <v>63</v>
      </c>
      <c r="I163" s="1"/>
      <c r="J163" s="1" t="s">
        <v>361</v>
      </c>
      <c r="K163" s="1" t="s">
        <v>336</v>
      </c>
      <c r="L163" s="1" t="s">
        <v>30</v>
      </c>
      <c r="M163" s="1" t="s">
        <v>19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 t="s">
        <v>13</v>
      </c>
      <c r="C164" s="1" t="s">
        <v>13</v>
      </c>
      <c r="D164" s="1" t="s">
        <v>364</v>
      </c>
      <c r="E164" s="1" t="str">
        <f>IFERROR(__xludf.DUMMYFUNCTION("""COMPUTED_VALUE"""),"Non-Dairy Milk, Nightshades, Alliums, Mushrooms, Tropical Fruits, Dried Herbs &amp; Spices, Sweeteners")</f>
        <v>Non-Dairy Milk, Nightshades, Alliums, Mushrooms, Tropical Fruits, Dried Herbs &amp; Spices, Sweeteners</v>
      </c>
      <c r="F164" s="1"/>
      <c r="G164" s="1" t="s">
        <v>328</v>
      </c>
      <c r="H164" s="1"/>
      <c r="I164" s="1"/>
      <c r="J164" s="1" t="s">
        <v>365</v>
      </c>
      <c r="K164" s="1" t="s">
        <v>336</v>
      </c>
      <c r="L164" s="1" t="s">
        <v>30</v>
      </c>
      <c r="M164" s="1" t="s">
        <v>19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 t="s">
        <v>13</v>
      </c>
      <c r="C165" s="1" t="s">
        <v>13</v>
      </c>
      <c r="D165" s="1" t="s">
        <v>366</v>
      </c>
      <c r="E165" s="1" t="str">
        <f>IFERROR(__xludf.DUMMYFUNCTION("""COMPUTED_VALUE"""),"Non-Dairy Cheese, Potatoes, Beans, Cruciferous")</f>
        <v>Non-Dairy Cheese, Potatoes, Beans, Cruciferous</v>
      </c>
      <c r="F165" s="1"/>
      <c r="G165" s="1" t="s">
        <v>356</v>
      </c>
      <c r="H165" s="1" t="s">
        <v>42</v>
      </c>
      <c r="I165" s="1" t="s">
        <v>351</v>
      </c>
      <c r="J165" s="1" t="s">
        <v>367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 t="s">
        <v>13</v>
      </c>
      <c r="C166" s="1" t="s">
        <v>13</v>
      </c>
      <c r="D166" s="1" t="s">
        <v>368</v>
      </c>
      <c r="E166" s="1" t="str">
        <f>IFERROR(__xludf.DUMMYFUNCTION("""COMPUTED_VALUE"""),"Soy")</f>
        <v>Soy</v>
      </c>
      <c r="F166" s="1"/>
      <c r="G166" s="1"/>
      <c r="H166" s="1"/>
      <c r="I166" s="1" t="s">
        <v>18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 t="s">
        <v>13</v>
      </c>
      <c r="C167" s="1" t="s">
        <v>13</v>
      </c>
      <c r="D167" s="1" t="s">
        <v>369</v>
      </c>
      <c r="E167" s="1" t="str">
        <f>IFERROR(__xludf.DUMMYFUNCTION("""COMPUTED_VALUE"""),"Corn, Sweeteners")</f>
        <v>Corn, Sweeteners</v>
      </c>
      <c r="F167" s="1"/>
      <c r="G167" s="1"/>
      <c r="H167" s="1" t="s">
        <v>63</v>
      </c>
      <c r="I167" s="1"/>
      <c r="J167" s="1"/>
      <c r="K167" s="1"/>
      <c r="L167" s="1"/>
      <c r="M167" s="1" t="s">
        <v>19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 t="s">
        <v>13</v>
      </c>
      <c r="C168" s="1" t="s">
        <v>13</v>
      </c>
      <c r="D168" s="1" t="s">
        <v>370</v>
      </c>
      <c r="E168" s="1" t="str">
        <f>IFERROR(__xludf.DUMMYFUNCTION("""COMPUTED_VALUE"""),"Wheat, Beans, Cruciferous, Citrus, Sweeteners")</f>
        <v>Wheat, Beans, Cruciferous, Citrus, Sweeteners</v>
      </c>
      <c r="F168" s="1"/>
      <c r="G168" s="1"/>
      <c r="H168" s="1" t="s">
        <v>29</v>
      </c>
      <c r="I168" s="1" t="s">
        <v>351</v>
      </c>
      <c r="J168" s="1" t="s">
        <v>367</v>
      </c>
      <c r="K168" s="1" t="s">
        <v>65</v>
      </c>
      <c r="L168" s="1"/>
      <c r="M168" s="1" t="s">
        <v>19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 t="s">
        <v>13</v>
      </c>
      <c r="C169" s="1" t="s">
        <v>13</v>
      </c>
      <c r="D169" s="1" t="s">
        <v>371</v>
      </c>
      <c r="E169" s="1" t="str">
        <f>IFERROR(__xludf.DUMMYFUNCTION("""COMPUTED_VALUE"""),"Non-Dairy Milk, Soy")</f>
        <v>Non-Dairy Milk, Soy</v>
      </c>
      <c r="F169" s="1"/>
      <c r="G169" s="1" t="s">
        <v>328</v>
      </c>
      <c r="H169" s="1"/>
      <c r="I169" s="1" t="s">
        <v>18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 t="s">
        <v>13</v>
      </c>
      <c r="C170" s="1" t="s">
        <v>13</v>
      </c>
      <c r="D170" s="1" t="s">
        <v>372</v>
      </c>
      <c r="E170" s="1" t="str">
        <f>IFERROR(__xludf.DUMMYFUNCTION("""COMPUTED_VALUE"""),"Gluten-Free Grains, Corn, Potatoes, Sweeteners")</f>
        <v>Gluten-Free Grains, Corn, Potatoes, Sweeteners</v>
      </c>
      <c r="F170" s="1"/>
      <c r="G170" s="1"/>
      <c r="H170" s="1" t="s">
        <v>373</v>
      </c>
      <c r="I170" s="1"/>
      <c r="J170" s="1"/>
      <c r="K170" s="1"/>
      <c r="L170" s="1"/>
      <c r="M170" s="1" t="s">
        <v>19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 t="s">
        <v>13</v>
      </c>
      <c r="C171" s="1" t="s">
        <v>13</v>
      </c>
      <c r="D171" s="1" t="s">
        <v>374</v>
      </c>
      <c r="E171" s="1" t="str">
        <f>IFERROR(__xludf.DUMMYFUNCTION("""COMPUTED_VALUE"""),"Soy")</f>
        <v>Soy</v>
      </c>
      <c r="F171" s="1"/>
      <c r="G171" s="1"/>
      <c r="H171" s="1"/>
      <c r="I171" s="1" t="s">
        <v>18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 t="s">
        <v>13</v>
      </c>
      <c r="C172" s="1" t="s">
        <v>13</v>
      </c>
      <c r="D172" s="1" t="s">
        <v>375</v>
      </c>
      <c r="E172" s="1" t="str">
        <f>IFERROR(__xludf.DUMMYFUNCTION("""COMPUTED_VALUE"""),"Corn, Potatoes, Gluten-Free Grains")</f>
        <v>Corn, Potatoes, Gluten-Free Grains</v>
      </c>
      <c r="F172" s="1"/>
      <c r="G172" s="1"/>
      <c r="H172" s="1" t="s">
        <v>376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 t="s">
        <v>13</v>
      </c>
      <c r="C173" s="1" t="s">
        <v>13</v>
      </c>
      <c r="D173" s="1" t="s">
        <v>377</v>
      </c>
      <c r="E173" s="1" t="str">
        <f>IFERROR(__xludf.DUMMYFUNCTION("""COMPUTED_VALUE"""),"Gluten-Free Grains, Tree Nuts, Berries, Tropical Fruits, Stone Fruits, Sweeteners")</f>
        <v>Gluten-Free Grains, Tree Nuts, Berries, Tropical Fruits, Stone Fruits, Sweeteners</v>
      </c>
      <c r="F173" s="1"/>
      <c r="G173" s="1"/>
      <c r="H173" s="1" t="s">
        <v>33</v>
      </c>
      <c r="I173" s="1" t="s">
        <v>85</v>
      </c>
      <c r="J173" s="1"/>
      <c r="K173" s="1" t="s">
        <v>378</v>
      </c>
      <c r="L173" s="1"/>
      <c r="M173" s="1" t="s">
        <v>19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 t="s">
        <v>13</v>
      </c>
      <c r="C174" s="1" t="s">
        <v>13</v>
      </c>
      <c r="D174" s="1" t="s">
        <v>379</v>
      </c>
      <c r="E174" s="1" t="str">
        <f>IFERROR(__xludf.DUMMYFUNCTION("""COMPUTED_VALUE"""),"Gluten-Free Grains, Potatoes, Corn")</f>
        <v>Gluten-Free Grains, Potatoes, Corn</v>
      </c>
      <c r="F174" s="1"/>
      <c r="G174" s="1"/>
      <c r="H174" s="1" t="s">
        <v>380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 t="s">
        <v>13</v>
      </c>
      <c r="C175" s="1" t="s">
        <v>13</v>
      </c>
      <c r="D175" s="1" t="s">
        <v>381</v>
      </c>
      <c r="E175" s="1" t="str">
        <f>IFERROR(__xludf.DUMMYFUNCTION("""COMPUTED_VALUE"""),"Tree Nuts")</f>
        <v>Tree Nuts</v>
      </c>
      <c r="F175" s="1"/>
      <c r="G175" s="1"/>
      <c r="H175" s="1"/>
      <c r="I175" s="1" t="s">
        <v>85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 t="s">
        <v>13</v>
      </c>
      <c r="C176" s="1" t="s">
        <v>13</v>
      </c>
      <c r="D176" s="1" t="s">
        <v>382</v>
      </c>
      <c r="E176" s="1" t="str">
        <f>IFERROR(__xludf.DUMMYFUNCTION("""COMPUTED_VALUE"""),"Non-Dairy Milk, Tree Nuts")</f>
        <v>Non-Dairy Milk, Tree Nuts</v>
      </c>
      <c r="F176" s="1"/>
      <c r="G176" s="1" t="s">
        <v>328</v>
      </c>
      <c r="H176" s="1"/>
      <c r="I176" s="1" t="s">
        <v>85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 t="s">
        <v>13</v>
      </c>
      <c r="C177" s="1" t="s">
        <v>13</v>
      </c>
      <c r="D177" s="1" t="s">
        <v>383</v>
      </c>
      <c r="E177" s="1" t="str">
        <f>IFERROR(__xludf.DUMMYFUNCTION("""COMPUTED_VALUE"""),"Soy, Tropical Fruits, Sweeteners, Caffeine")</f>
        <v>Soy, Tropical Fruits, Sweeteners, Caffeine</v>
      </c>
      <c r="F177" s="1"/>
      <c r="G177" s="1"/>
      <c r="H177" s="1"/>
      <c r="I177" s="1" t="s">
        <v>18</v>
      </c>
      <c r="J177" s="1"/>
      <c r="K177" s="1" t="s">
        <v>336</v>
      </c>
      <c r="L177" s="1"/>
      <c r="M177" s="1" t="s">
        <v>337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 t="s">
        <v>13</v>
      </c>
      <c r="C178" s="1" t="s">
        <v>13</v>
      </c>
      <c r="D178" s="1" t="s">
        <v>384</v>
      </c>
      <c r="E178" s="1" t="str">
        <f>IFERROR(__xludf.DUMMYFUNCTION("""COMPUTED_VALUE"""),"Gluten-Free Grains")</f>
        <v>Gluten-Free Grains</v>
      </c>
      <c r="F178" s="1"/>
      <c r="G178" s="1"/>
      <c r="H178" s="1" t="s">
        <v>33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 t="s">
        <v>13</v>
      </c>
      <c r="C179" s="1" t="s">
        <v>13</v>
      </c>
      <c r="D179" s="1" t="s">
        <v>385</v>
      </c>
      <c r="E179" s="1" t="str">
        <f>IFERROR(__xludf.DUMMYFUNCTION("""COMPUTED_VALUE"""),"Eggs, Gluten-Free Grains")</f>
        <v>Eggs, Gluten-Free Grains</v>
      </c>
      <c r="F179" s="1" t="s">
        <v>70</v>
      </c>
      <c r="G179" s="1"/>
      <c r="H179" s="1" t="s">
        <v>33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 t="s">
        <v>13</v>
      </c>
      <c r="C180" s="1" t="s">
        <v>13</v>
      </c>
      <c r="D180" s="1" t="s">
        <v>386</v>
      </c>
      <c r="E180" s="1" t="str">
        <f>IFERROR(__xludf.DUMMYFUNCTION("""COMPUTED_VALUE"""),"Lactose-Free, Sweeteners")</f>
        <v>Lactose-Free, Sweeteners</v>
      </c>
      <c r="F180" s="1"/>
      <c r="G180" s="1" t="s">
        <v>387</v>
      </c>
      <c r="H180" s="1"/>
      <c r="I180" s="1"/>
      <c r="J180" s="1"/>
      <c r="K180" s="1"/>
      <c r="L180" s="1"/>
      <c r="M180" s="1" t="s">
        <v>19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 t="s">
        <v>13</v>
      </c>
      <c r="C181" s="1" t="s">
        <v>13</v>
      </c>
      <c r="D181" s="1" t="s">
        <v>388</v>
      </c>
      <c r="E181" s="1" t="str">
        <f>IFERROR(__xludf.DUMMYFUNCTION("""COMPUTED_VALUE"""),"Alliums, Mushrooms, Dried Herbs &amp; Spices")</f>
        <v>Alliums, Mushrooms, Dried Herbs &amp; Spices</v>
      </c>
      <c r="F181" s="1"/>
      <c r="G181" s="1"/>
      <c r="H181" s="1"/>
      <c r="I181" s="1"/>
      <c r="J181" s="1" t="s">
        <v>389</v>
      </c>
      <c r="K181" s="1"/>
      <c r="L181" s="1" t="s">
        <v>30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 t="s">
        <v>13</v>
      </c>
      <c r="C182" s="1" t="s">
        <v>13</v>
      </c>
      <c r="D182" s="1" t="s">
        <v>390</v>
      </c>
      <c r="E182" s="1" t="str">
        <f>IFERROR(__xludf.DUMMYFUNCTION("""COMPUTED_VALUE"""),"Non-Dairy Milk")</f>
        <v>Non-Dairy Milk</v>
      </c>
      <c r="F182" s="1"/>
      <c r="G182" s="1" t="s">
        <v>328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 t="s">
        <v>13</v>
      </c>
      <c r="C183" s="1" t="s">
        <v>13</v>
      </c>
      <c r="D183" s="1" t="s">
        <v>391</v>
      </c>
      <c r="E183" s="1" t="str">
        <f>IFERROR(__xludf.DUMMYFUNCTION("""COMPUTED_VALUE"""),"Soy, Alliums, Dried Herbs &amp; Spices, Sweeteners")</f>
        <v>Soy, Alliums, Dried Herbs &amp; Spices, Sweeteners</v>
      </c>
      <c r="F183" s="1"/>
      <c r="G183" s="1"/>
      <c r="H183" s="1"/>
      <c r="I183" s="1" t="s">
        <v>18</v>
      </c>
      <c r="J183" s="1" t="s">
        <v>64</v>
      </c>
      <c r="K183" s="1"/>
      <c r="L183" s="1" t="s">
        <v>30</v>
      </c>
      <c r="M183" s="1" t="s">
        <v>19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 t="s">
        <v>13</v>
      </c>
      <c r="C184" s="1" t="s">
        <v>13</v>
      </c>
      <c r="D184" s="1" t="s">
        <v>392</v>
      </c>
      <c r="E184" s="1" t="str">
        <f>IFERROR(__xludf.DUMMYFUNCTION("""COMPUTED_VALUE"""),"Fresh Herbs")</f>
        <v>Fresh Herbs</v>
      </c>
      <c r="F184" s="1"/>
      <c r="G184" s="1"/>
      <c r="H184" s="1"/>
      <c r="I184" s="1"/>
      <c r="J184" s="1"/>
      <c r="K184" s="1"/>
      <c r="L184" s="1" t="s">
        <v>393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 t="s">
        <v>14</v>
      </c>
      <c r="C185" s="1" t="s">
        <v>13</v>
      </c>
      <c r="D185" s="1" t="s">
        <v>394</v>
      </c>
      <c r="E185" s="1" t="str">
        <f>IFERROR(__xludf.DUMMYFUNCTION("""COMPUTED_VALUE"""),"Wheat, Soy, Dried Herbs &amp; Spices")</f>
        <v>Wheat, Soy, Dried Herbs &amp; Spices</v>
      </c>
      <c r="F185" s="1"/>
      <c r="G185" s="1"/>
      <c r="H185" s="1" t="s">
        <v>29</v>
      </c>
      <c r="I185" s="1" t="s">
        <v>18</v>
      </c>
      <c r="J185" s="1"/>
      <c r="K185" s="1"/>
      <c r="L185" s="1" t="s">
        <v>30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 t="s">
        <v>13</v>
      </c>
      <c r="C186" s="1" t="s">
        <v>13</v>
      </c>
      <c r="D186" s="1" t="s">
        <v>395</v>
      </c>
      <c r="E186" s="1" t="str">
        <f>IFERROR(__xludf.DUMMYFUNCTION("""COMPUTED_VALUE"""),"Sweeteners, Caffeine")</f>
        <v>Sweeteners, Caffeine</v>
      </c>
      <c r="F186" s="1"/>
      <c r="G186" s="1"/>
      <c r="H186" s="1"/>
      <c r="I186" s="1"/>
      <c r="J186" s="1"/>
      <c r="K186" s="1"/>
      <c r="L186" s="1"/>
      <c r="M186" s="1" t="s">
        <v>337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 t="s">
        <v>13</v>
      </c>
      <c r="C187" s="1" t="s">
        <v>13</v>
      </c>
      <c r="D187" s="1" t="s">
        <v>396</v>
      </c>
      <c r="E187" s="1" t="str">
        <f>IFERROR(__xludf.DUMMYFUNCTION("""COMPUTED_VALUE"""),"Dried Herbs &amp; Spices")</f>
        <v>Dried Herbs &amp; Spices</v>
      </c>
      <c r="F187" s="1"/>
      <c r="G187" s="1"/>
      <c r="H187" s="1"/>
      <c r="I187" s="1"/>
      <c r="J187" s="1"/>
      <c r="K187" s="1"/>
      <c r="L187" s="1" t="s">
        <v>30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 t="s">
        <v>13</v>
      </c>
      <c r="C188" s="1" t="s">
        <v>13</v>
      </c>
      <c r="D188" s="1" t="s">
        <v>397</v>
      </c>
      <c r="E188" s="1" t="str">
        <f>IFERROR(__xludf.DUMMYFUNCTION("""COMPUTED_VALUE"""),"Non-Dairy Cheese, Tree Nuts")</f>
        <v>Non-Dairy Cheese, Tree Nuts</v>
      </c>
      <c r="F188" s="1"/>
      <c r="G188" s="1" t="s">
        <v>356</v>
      </c>
      <c r="H188" s="1"/>
      <c r="I188" s="1" t="s">
        <v>85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 t="s">
        <v>13</v>
      </c>
      <c r="C189" s="1" t="s">
        <v>13</v>
      </c>
      <c r="D189" s="1" t="s">
        <v>398</v>
      </c>
      <c r="E189" s="1" t="str">
        <f>IFERROR(__xludf.DUMMYFUNCTION("""COMPUTED_VALUE"""),"Non-Dairy Cheese")</f>
        <v>Non-Dairy Cheese</v>
      </c>
      <c r="F189" s="1"/>
      <c r="G189" s="1" t="s">
        <v>356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 t="s">
        <v>13</v>
      </c>
      <c r="C190" s="1" t="s">
        <v>13</v>
      </c>
      <c r="D190" s="1" t="s">
        <v>399</v>
      </c>
      <c r="E190" s="1" t="str">
        <f>IFERROR(__xludf.DUMMYFUNCTION("""COMPUTED_VALUE"""),"Fish, Shellfish, Alliums, Dried Herbs &amp; Spices")</f>
        <v>Fish, Shellfish, Alliums, Dried Herbs &amp; Spices</v>
      </c>
      <c r="F190" s="1" t="s">
        <v>400</v>
      </c>
      <c r="G190" s="1"/>
      <c r="H190" s="1"/>
      <c r="I190" s="1"/>
      <c r="J190" s="1" t="s">
        <v>64</v>
      </c>
      <c r="K190" s="1"/>
      <c r="L190" s="1" t="s">
        <v>30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 t="s">
        <v>13</v>
      </c>
      <c r="C191" s="1" t="s">
        <v>13</v>
      </c>
      <c r="D191" s="1" t="s">
        <v>401</v>
      </c>
      <c r="E191" s="1" t="str">
        <f>IFERROR(__xludf.DUMMYFUNCTION("""COMPUTED_VALUE"""),"Lentils, Sweeteners")</f>
        <v>Lentils, Sweeteners</v>
      </c>
      <c r="F191" s="1"/>
      <c r="G191" s="1"/>
      <c r="H191" s="1"/>
      <c r="I191" s="1" t="s">
        <v>402</v>
      </c>
      <c r="J191" s="1"/>
      <c r="K191" s="1"/>
      <c r="L191" s="1"/>
      <c r="M191" s="1" t="s">
        <v>19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 t="s">
        <v>14</v>
      </c>
      <c r="C192" s="1" t="s">
        <v>13</v>
      </c>
      <c r="D192" s="1" t="s">
        <v>403</v>
      </c>
      <c r="E192" s="1" t="str">
        <f>IFERROR(__xludf.DUMMYFUNCTION("""COMPUTED_VALUE"""),"Dairy")</f>
        <v>Dairy</v>
      </c>
      <c r="F192" s="1" t="s">
        <v>16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 t="s">
        <v>13</v>
      </c>
      <c r="C193" s="1" t="s">
        <v>13</v>
      </c>
      <c r="D193" s="1" t="s">
        <v>404</v>
      </c>
      <c r="E193" s="1" t="str">
        <f>IFERROR(__xludf.DUMMYFUNCTION("""COMPUTED_VALUE"""),"Lactose-Free")</f>
        <v>Lactose-Free</v>
      </c>
      <c r="F193" s="1"/>
      <c r="G193" s="1" t="s">
        <v>387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 t="s">
        <v>14</v>
      </c>
      <c r="C194" s="1" t="s">
        <v>13</v>
      </c>
      <c r="D194" s="1" t="s">
        <v>405</v>
      </c>
      <c r="E194" s="1" t="str">
        <f>IFERROR(__xludf.DUMMYFUNCTION("""COMPUTED_VALUE"""),"Dairy")</f>
        <v>Dairy</v>
      </c>
      <c r="F194" s="1" t="s">
        <v>16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 t="s">
        <v>13</v>
      </c>
      <c r="C195" s="1" t="s">
        <v>13</v>
      </c>
      <c r="D195" s="1" t="s">
        <v>406</v>
      </c>
      <c r="E195" s="1" t="str">
        <f>IFERROR(__xludf.DUMMYFUNCTION("""COMPUTED_VALUE"""),"Gluten-Free Grains")</f>
        <v>Gluten-Free Grains</v>
      </c>
      <c r="F195" s="1"/>
      <c r="G195" s="1"/>
      <c r="H195" s="1" t="s">
        <v>33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 t="s">
        <v>13</v>
      </c>
      <c r="C196" s="1" t="s">
        <v>13</v>
      </c>
      <c r="D196" s="1" t="s">
        <v>407</v>
      </c>
      <c r="E196" s="1" t="str">
        <f>IFERROR(__xludf.DUMMYFUNCTION("""COMPUTED_VALUE"""),"Fresh Herbs, Spicy")</f>
        <v>Fresh Herbs, Spicy</v>
      </c>
      <c r="F196" s="1"/>
      <c r="G196" s="1"/>
      <c r="H196" s="1"/>
      <c r="I196" s="1"/>
      <c r="J196" s="1"/>
      <c r="K196" s="1"/>
      <c r="L196" s="1" t="s">
        <v>408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 t="s">
        <v>13</v>
      </c>
      <c r="C197" s="1" t="s">
        <v>13</v>
      </c>
      <c r="D197" s="1" t="s">
        <v>409</v>
      </c>
      <c r="E197" s="1" t="str">
        <f>IFERROR(__xludf.DUMMYFUNCTION("""COMPUTED_VALUE"""),"Non-Dairy Cheese")</f>
        <v>Non-Dairy Cheese</v>
      </c>
      <c r="F197" s="1"/>
      <c r="G197" s="1" t="s">
        <v>356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 t="s">
        <v>13</v>
      </c>
      <c r="C198" s="1" t="s">
        <v>13</v>
      </c>
      <c r="D198" s="1" t="s">
        <v>410</v>
      </c>
      <c r="E198" s="1" t="str">
        <f>IFERROR(__xludf.DUMMYFUNCTION("""COMPUTED_VALUE"""),"Gluten-Free Grains")</f>
        <v>Gluten-Free Grains</v>
      </c>
      <c r="F198" s="1"/>
      <c r="G198" s="1"/>
      <c r="H198" s="1" t="s">
        <v>33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 t="s">
        <v>13</v>
      </c>
      <c r="C199" s="1" t="s">
        <v>13</v>
      </c>
      <c r="D199" s="1" t="s">
        <v>411</v>
      </c>
      <c r="E199" s="1" t="str">
        <f>IFERROR(__xludf.DUMMYFUNCTION("""COMPUTED_VALUE"""),"Lactose-Free, Stone Fruits, Sweeteners")</f>
        <v>Lactose-Free, Stone Fruits, Sweeteners</v>
      </c>
      <c r="F199" s="1"/>
      <c r="G199" s="1" t="s">
        <v>387</v>
      </c>
      <c r="H199" s="1"/>
      <c r="I199" s="1"/>
      <c r="J199" s="1"/>
      <c r="K199" s="1" t="s">
        <v>412</v>
      </c>
      <c r="L199" s="1"/>
      <c r="M199" s="1" t="s">
        <v>19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 t="s">
        <v>13</v>
      </c>
      <c r="C200" s="1" t="s">
        <v>13</v>
      </c>
      <c r="D200" s="1" t="s">
        <v>413</v>
      </c>
      <c r="E200" s="1" t="str">
        <f>IFERROR(__xludf.DUMMYFUNCTION("""COMPUTED_VALUE"""),"Lactose-Free, Sweeteners")</f>
        <v>Lactose-Free, Sweeteners</v>
      </c>
      <c r="F200" s="1"/>
      <c r="G200" s="1" t="s">
        <v>387</v>
      </c>
      <c r="H200" s="1"/>
      <c r="I200" s="1"/>
      <c r="J200" s="1"/>
      <c r="K200" s="1"/>
      <c r="L200" s="1"/>
      <c r="M200" s="1" t="s">
        <v>19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 t="s">
        <v>13</v>
      </c>
      <c r="C201" s="1" t="s">
        <v>13</v>
      </c>
      <c r="D201" s="1" t="s">
        <v>414</v>
      </c>
      <c r="E201" s="1" t="str">
        <f>IFERROR(__xludf.DUMMYFUNCTION("""COMPUTED_VALUE"""),"Gluten-Free Grains")</f>
        <v>Gluten-Free Grains</v>
      </c>
      <c r="F201" s="1"/>
      <c r="G201" s="1"/>
      <c r="H201" s="1" t="s">
        <v>33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 t="s">
        <v>13</v>
      </c>
      <c r="C202" s="1" t="s">
        <v>13</v>
      </c>
      <c r="D202" s="1" t="s">
        <v>415</v>
      </c>
      <c r="E202" s="1" t="str">
        <f>IFERROR(__xludf.DUMMYFUNCTION("""COMPUTED_VALUE"""),"Non-Dairy Milk")</f>
        <v>Non-Dairy Milk</v>
      </c>
      <c r="F202" s="1"/>
      <c r="G202" s="1" t="s">
        <v>328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 t="s">
        <v>14</v>
      </c>
      <c r="C203" s="1" t="s">
        <v>13</v>
      </c>
      <c r="D203" s="1" t="s">
        <v>416</v>
      </c>
      <c r="E203" s="1" t="str">
        <f>IFERROR(__xludf.DUMMYFUNCTION("""COMPUTED_VALUE"""),"Wheat")</f>
        <v>Wheat</v>
      </c>
      <c r="F203" s="1"/>
      <c r="G203" s="1"/>
      <c r="H203" s="1" t="s">
        <v>29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 t="s">
        <v>13</v>
      </c>
      <c r="C204" s="1" t="s">
        <v>13</v>
      </c>
      <c r="D204" s="1" t="s">
        <v>417</v>
      </c>
      <c r="E204" s="1" t="str">
        <f>IFERROR(__xludf.DUMMYFUNCTION("""COMPUTED_VALUE"""),"Gluten-Free Grains, Sweeteners")</f>
        <v>Gluten-Free Grains, Sweeteners</v>
      </c>
      <c r="F204" s="1"/>
      <c r="G204" s="1"/>
      <c r="H204" s="1" t="s">
        <v>33</v>
      </c>
      <c r="I204" s="1"/>
      <c r="J204" s="1"/>
      <c r="K204" s="1"/>
      <c r="L204" s="1"/>
      <c r="M204" s="1" t="s">
        <v>19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 t="s">
        <v>13</v>
      </c>
      <c r="C205" s="1" t="s">
        <v>13</v>
      </c>
      <c r="D205" s="1" t="s">
        <v>418</v>
      </c>
      <c r="E205" s="1" t="str">
        <f>IFERROR(__xludf.DUMMYFUNCTION("""COMPUTED_VALUE"""),"Wheat, Sweeteners")</f>
        <v>Wheat, Sweeteners</v>
      </c>
      <c r="F205" s="1"/>
      <c r="G205" s="1"/>
      <c r="H205" s="1" t="s">
        <v>29</v>
      </c>
      <c r="I205" s="1"/>
      <c r="J205" s="1"/>
      <c r="K205" s="1"/>
      <c r="L205" s="1"/>
      <c r="M205" s="1" t="s">
        <v>19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 t="s">
        <v>13</v>
      </c>
      <c r="C206" s="1" t="s">
        <v>13</v>
      </c>
      <c r="D206" s="1" t="s">
        <v>419</v>
      </c>
      <c r="E206" s="1" t="str">
        <f>IFERROR(__xludf.DUMMYFUNCTION("""COMPUTED_VALUE"""),"Gluten-Free Grains, Tree Nuts")</f>
        <v>Gluten-Free Grains, Tree Nuts</v>
      </c>
      <c r="F206" s="1"/>
      <c r="G206" s="1"/>
      <c r="H206" s="1" t="s">
        <v>33</v>
      </c>
      <c r="I206" s="1" t="s">
        <v>85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 t="s">
        <v>13</v>
      </c>
      <c r="C207" s="1" t="s">
        <v>13</v>
      </c>
      <c r="D207" s="1" t="s">
        <v>420</v>
      </c>
      <c r="E207" s="1" t="str">
        <f>IFERROR(__xludf.DUMMYFUNCTION("""COMPUTED_VALUE"""),"Gluten-Free Grains, Sweeteners")</f>
        <v>Gluten-Free Grains, Sweeteners</v>
      </c>
      <c r="F207" s="1"/>
      <c r="G207" s="1"/>
      <c r="H207" s="1" t="s">
        <v>33</v>
      </c>
      <c r="I207" s="1"/>
      <c r="J207" s="1"/>
      <c r="K207" s="1"/>
      <c r="L207" s="1"/>
      <c r="M207" s="1" t="s">
        <v>19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 t="s">
        <v>13</v>
      </c>
      <c r="C208" s="1" t="s">
        <v>13</v>
      </c>
      <c r="D208" s="1" t="s">
        <v>421</v>
      </c>
      <c r="E208" s="1" t="str">
        <f>IFERROR(__xludf.DUMMYFUNCTION("""COMPUTED_VALUE"""),"Soy, Beans, Lentils, Sweeteners")</f>
        <v>Soy, Beans, Lentils, Sweeteners</v>
      </c>
      <c r="F208" s="1"/>
      <c r="G208" s="1"/>
      <c r="H208" s="1"/>
      <c r="I208" s="1" t="s">
        <v>422</v>
      </c>
      <c r="J208" s="1"/>
      <c r="K208" s="1"/>
      <c r="L208" s="1"/>
      <c r="M208" s="1" t="s">
        <v>19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 t="s">
        <v>13</v>
      </c>
      <c r="C209" s="1" t="s">
        <v>13</v>
      </c>
      <c r="D209" s="1" t="s">
        <v>423</v>
      </c>
      <c r="E209" s="1" t="str">
        <f>IFERROR(__xludf.DUMMYFUNCTION("""COMPUTED_VALUE"""),"Fresh Herbs")</f>
        <v>Fresh Herbs</v>
      </c>
      <c r="F209" s="1"/>
      <c r="G209" s="1"/>
      <c r="H209" s="1"/>
      <c r="I209" s="1"/>
      <c r="J209" s="1"/>
      <c r="K209" s="1"/>
      <c r="L209" s="1" t="s">
        <v>393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 t="s">
        <v>13</v>
      </c>
      <c r="C210" s="1" t="s">
        <v>13</v>
      </c>
      <c r="D210" s="1" t="s">
        <v>424</v>
      </c>
      <c r="E210" s="1" t="str">
        <f>IFERROR(__xludf.DUMMYFUNCTION("""COMPUTED_VALUE"""),"Tree Nuts")</f>
        <v>Tree Nuts</v>
      </c>
      <c r="F210" s="1"/>
      <c r="G210" s="1"/>
      <c r="H210" s="1"/>
      <c r="I210" s="1" t="s">
        <v>85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 t="s">
        <v>13</v>
      </c>
      <c r="C211" s="1" t="s">
        <v>13</v>
      </c>
      <c r="D211" s="1" t="s">
        <v>425</v>
      </c>
      <c r="E211" s="1" t="str">
        <f>IFERROR(__xludf.DUMMYFUNCTION("""COMPUTED_VALUE"""),"Soy, Beans, Lentils, Sweeteners, Caffeine")</f>
        <v>Soy, Beans, Lentils, Sweeteners, Caffeine</v>
      </c>
      <c r="F211" s="1"/>
      <c r="G211" s="1"/>
      <c r="H211" s="1"/>
      <c r="I211" s="1" t="s">
        <v>422</v>
      </c>
      <c r="J211" s="1"/>
      <c r="K211" s="1"/>
      <c r="L211" s="1"/>
      <c r="M211" s="1" t="s">
        <v>337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 t="s">
        <v>13</v>
      </c>
      <c r="C212" s="1" t="s">
        <v>13</v>
      </c>
      <c r="D212" s="1" t="s">
        <v>426</v>
      </c>
      <c r="E212" s="1" t="str">
        <f>IFERROR(__xludf.DUMMYFUNCTION("""COMPUTED_VALUE"""),"Gluten-Free Grains")</f>
        <v>Gluten-Free Grains</v>
      </c>
      <c r="F212" s="1"/>
      <c r="G212" s="1"/>
      <c r="H212" s="1" t="s">
        <v>33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 t="s">
        <v>13</v>
      </c>
      <c r="C213" s="1" t="s">
        <v>13</v>
      </c>
      <c r="D213" s="1" t="s">
        <v>427</v>
      </c>
      <c r="E213" s="1" t="str">
        <f>IFERROR(__xludf.DUMMYFUNCTION("""COMPUTED_VALUE"""),"Gluten-Free Grains, Alliums, Fresh Herbs, Sweeteners")</f>
        <v>Gluten-Free Grains, Alliums, Fresh Herbs, Sweeteners</v>
      </c>
      <c r="F213" s="1"/>
      <c r="G213" s="1"/>
      <c r="H213" s="1" t="s">
        <v>33</v>
      </c>
      <c r="I213" s="1"/>
      <c r="J213" s="1" t="s">
        <v>64</v>
      </c>
      <c r="K213" s="1"/>
      <c r="L213" s="1" t="s">
        <v>393</v>
      </c>
      <c r="M213" s="1" t="s">
        <v>19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 t="s">
        <v>13</v>
      </c>
      <c r="C214" s="1" t="s">
        <v>13</v>
      </c>
      <c r="D214" s="1" t="s">
        <v>428</v>
      </c>
      <c r="E214" s="1" t="str">
        <f>IFERROR(__xludf.DUMMYFUNCTION("""COMPUTED_VALUE"""),"Tropical Fruits")</f>
        <v>Tropical Fruits</v>
      </c>
      <c r="F214" s="1"/>
      <c r="G214" s="1"/>
      <c r="H214" s="1"/>
      <c r="I214" s="1"/>
      <c r="J214" s="1"/>
      <c r="K214" s="1" t="s">
        <v>336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 t="s">
        <v>13</v>
      </c>
      <c r="C215" s="1" t="s">
        <v>13</v>
      </c>
      <c r="D215" s="1" t="s">
        <v>429</v>
      </c>
      <c r="E215" s="1" t="str">
        <f>IFERROR(__xludf.DUMMYFUNCTION("""COMPUTED_VALUE"""),"Soy, Sweeteners")</f>
        <v>Soy, Sweeteners</v>
      </c>
      <c r="F215" s="1"/>
      <c r="G215" s="1"/>
      <c r="H215" s="1"/>
      <c r="I215" s="1" t="s">
        <v>18</v>
      </c>
      <c r="J215" s="1"/>
      <c r="K215" s="1"/>
      <c r="L215" s="1"/>
      <c r="M215" s="1" t="s">
        <v>19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 t="s">
        <v>13</v>
      </c>
      <c r="C216" s="1" t="s">
        <v>13</v>
      </c>
      <c r="D216" s="1" t="s">
        <v>430</v>
      </c>
      <c r="E216" s="1" t="str">
        <f>IFERROR(__xludf.DUMMYFUNCTION("""COMPUTED_VALUE"""),"Non-Dairy Milk, Tree Nuts")</f>
        <v>Non-Dairy Milk, Tree Nuts</v>
      </c>
      <c r="F216" s="1"/>
      <c r="G216" s="1" t="s">
        <v>328</v>
      </c>
      <c r="H216" s="1"/>
      <c r="I216" s="1" t="s">
        <v>85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 t="s">
        <v>13</v>
      </c>
      <c r="C217" s="1" t="s">
        <v>13</v>
      </c>
      <c r="D217" s="1" t="s">
        <v>431</v>
      </c>
      <c r="E217" s="1" t="str">
        <f>IFERROR(__xludf.DUMMYFUNCTION("""COMPUTED_VALUE"""),"Gluten-Free Grains, Corn")</f>
        <v>Gluten-Free Grains, Corn</v>
      </c>
      <c r="F217" s="1"/>
      <c r="G217" s="1"/>
      <c r="H217" s="1" t="s">
        <v>188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 t="s">
        <v>13</v>
      </c>
      <c r="C218" s="1" t="s">
        <v>13</v>
      </c>
      <c r="D218" s="1" t="s">
        <v>432</v>
      </c>
      <c r="E218" s="1" t="str">
        <f>IFERROR(__xludf.DUMMYFUNCTION("""COMPUTED_VALUE"""),"Gluten-Free Grains, Corn")</f>
        <v>Gluten-Free Grains, Corn</v>
      </c>
      <c r="F218" s="1"/>
      <c r="G218" s="1"/>
      <c r="H218" s="1" t="s">
        <v>188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 t="s">
        <v>13</v>
      </c>
      <c r="C219" s="1" t="s">
        <v>13</v>
      </c>
      <c r="D219" s="1" t="s">
        <v>433</v>
      </c>
      <c r="E219" s="1" t="str">
        <f>IFERROR(__xludf.DUMMYFUNCTION("""COMPUTED_VALUE"""),"Non-Dairy Milk, Tree Nuts")</f>
        <v>Non-Dairy Milk, Tree Nuts</v>
      </c>
      <c r="F219" s="1"/>
      <c r="G219" s="1" t="s">
        <v>328</v>
      </c>
      <c r="H219" s="1"/>
      <c r="I219" s="1" t="s">
        <v>85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 t="s">
        <v>13</v>
      </c>
      <c r="C220" s="1" t="s">
        <v>13</v>
      </c>
      <c r="D220" s="1" t="s">
        <v>434</v>
      </c>
      <c r="E220" s="1" t="str">
        <f>IFERROR(__xludf.DUMMYFUNCTION("""COMPUTED_VALUE"""),"Wheat, Soy, Sweeteners")</f>
        <v>Wheat, Soy, Sweeteners</v>
      </c>
      <c r="F220" s="1"/>
      <c r="G220" s="1"/>
      <c r="H220" s="1" t="s">
        <v>29</v>
      </c>
      <c r="I220" s="1" t="s">
        <v>18</v>
      </c>
      <c r="J220" s="1"/>
      <c r="K220" s="1"/>
      <c r="L220" s="1"/>
      <c r="M220" s="1" t="s">
        <v>19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 t="s">
        <v>13</v>
      </c>
      <c r="C221" s="1" t="s">
        <v>13</v>
      </c>
      <c r="D221" s="1" t="s">
        <v>435</v>
      </c>
      <c r="E221" s="1" t="str">
        <f>IFERROR(__xludf.DUMMYFUNCTION("""COMPUTED_VALUE"""),"Gluten-Free Grains, Sweeteners")</f>
        <v>Gluten-Free Grains, Sweeteners</v>
      </c>
      <c r="F221" s="1"/>
      <c r="G221" s="1"/>
      <c r="H221" s="1" t="s">
        <v>33</v>
      </c>
      <c r="I221" s="1"/>
      <c r="J221" s="1"/>
      <c r="K221" s="1"/>
      <c r="L221" s="1"/>
      <c r="M221" s="1" t="s">
        <v>19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 t="s">
        <v>13</v>
      </c>
      <c r="C222" s="1" t="s">
        <v>13</v>
      </c>
      <c r="D222" s="1" t="s">
        <v>436</v>
      </c>
      <c r="E222" s="1" t="str">
        <f>IFERROR(__xludf.DUMMYFUNCTION("""COMPUTED_VALUE"""),"Others")</f>
        <v>Others</v>
      </c>
      <c r="F222" s="1"/>
      <c r="G222" s="1"/>
      <c r="H222" s="1"/>
      <c r="I222" s="1"/>
      <c r="J222" s="1"/>
      <c r="K222" s="1"/>
      <c r="L222" s="1"/>
      <c r="M222" s="1"/>
      <c r="N222" s="1" t="s">
        <v>11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 t="s">
        <v>13</v>
      </c>
      <c r="C223" s="1" t="s">
        <v>13</v>
      </c>
      <c r="D223" s="1" t="s">
        <v>437</v>
      </c>
      <c r="E223" s="1" t="str">
        <f>IFERROR(__xludf.DUMMYFUNCTION("""COMPUTED_VALUE"""),"Soy, Beans, Lentils")</f>
        <v>Soy, Beans, Lentils</v>
      </c>
      <c r="F223" s="1"/>
      <c r="G223" s="1"/>
      <c r="H223" s="1"/>
      <c r="I223" s="1" t="s">
        <v>422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 t="s">
        <v>13</v>
      </c>
      <c r="C224" s="1" t="s">
        <v>13</v>
      </c>
      <c r="D224" s="1" t="s">
        <v>438</v>
      </c>
      <c r="E224" s="1" t="str">
        <f>IFERROR(__xludf.DUMMYFUNCTION("""COMPUTED_VALUE"""),"Sweeteners")</f>
        <v>Sweeteners</v>
      </c>
      <c r="F224" s="1"/>
      <c r="G224" s="1"/>
      <c r="H224" s="1"/>
      <c r="I224" s="1"/>
      <c r="J224" s="1"/>
      <c r="K224" s="1"/>
      <c r="L224" s="1"/>
      <c r="M224" s="1" t="s">
        <v>19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 t="s">
        <v>13</v>
      </c>
      <c r="C225" s="1" t="s">
        <v>13</v>
      </c>
      <c r="D225" s="1" t="s">
        <v>439</v>
      </c>
      <c r="E225" s="1" t="str">
        <f>IFERROR(__xludf.DUMMYFUNCTION("""COMPUTED_VALUE"""),"Gluten-Free Grains, Beans")</f>
        <v>Gluten-Free Grains, Beans</v>
      </c>
      <c r="F225" s="1"/>
      <c r="G225" s="1"/>
      <c r="H225" s="1" t="s">
        <v>33</v>
      </c>
      <c r="I225" s="1" t="s">
        <v>351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 t="s">
        <v>13</v>
      </c>
      <c r="C226" s="1" t="s">
        <v>13</v>
      </c>
      <c r="D226" s="1" t="s">
        <v>440</v>
      </c>
      <c r="E226" s="1" t="str">
        <f>IFERROR(__xludf.DUMMYFUNCTION("""COMPUTED_VALUE"""),"Gluten-Free Grains, Corn, Tree Nuts")</f>
        <v>Gluten-Free Grains, Corn, Tree Nuts</v>
      </c>
      <c r="F226" s="1"/>
      <c r="G226" s="1"/>
      <c r="H226" s="1" t="s">
        <v>188</v>
      </c>
      <c r="I226" s="1" t="s">
        <v>85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 t="s">
        <v>13</v>
      </c>
      <c r="C227" s="1" t="s">
        <v>13</v>
      </c>
      <c r="D227" s="1" t="s">
        <v>441</v>
      </c>
      <c r="E227" s="1" t="str">
        <f>IFERROR(__xludf.DUMMYFUNCTION("""COMPUTED_VALUE"""),"Non-Dairy Milk")</f>
        <v>Non-Dairy Milk</v>
      </c>
      <c r="F227" s="1"/>
      <c r="G227" s="1" t="s">
        <v>328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 t="s">
        <v>13</v>
      </c>
      <c r="C228" s="1" t="s">
        <v>13</v>
      </c>
      <c r="D228" s="1" t="s">
        <v>442</v>
      </c>
      <c r="E228" s="1" t="str">
        <f>IFERROR(__xludf.DUMMYFUNCTION("""COMPUTED_VALUE"""),"Mushrooms")</f>
        <v>Mushrooms</v>
      </c>
      <c r="F228" s="1"/>
      <c r="G228" s="1"/>
      <c r="H228" s="1"/>
      <c r="I228" s="1"/>
      <c r="J228" s="1" t="s">
        <v>333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 t="s">
        <v>13</v>
      </c>
      <c r="C229" s="1" t="s">
        <v>13</v>
      </c>
      <c r="D229" s="1" t="s">
        <v>443</v>
      </c>
      <c r="E229" s="1" t="str">
        <f>IFERROR(__xludf.DUMMYFUNCTION("""COMPUTED_VALUE"""),"Alliums, Dried Herbs &amp; Spices, Sweeteners")</f>
        <v>Alliums, Dried Herbs &amp; Spices, Sweeteners</v>
      </c>
      <c r="F229" s="1"/>
      <c r="G229" s="1"/>
      <c r="H229" s="1"/>
      <c r="I229" s="1"/>
      <c r="J229" s="1" t="s">
        <v>64</v>
      </c>
      <c r="K229" s="1"/>
      <c r="L229" s="1" t="s">
        <v>30</v>
      </c>
      <c r="M229" s="1" t="s">
        <v>19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 t="s">
        <v>13</v>
      </c>
      <c r="C230" s="1" t="s">
        <v>13</v>
      </c>
      <c r="D230" s="1" t="s">
        <v>444</v>
      </c>
      <c r="E230" s="1" t="str">
        <f>IFERROR(__xludf.DUMMYFUNCTION("""COMPUTED_VALUE"""),"Alliums, Dried Herbs &amp; Spices, Sweeteners")</f>
        <v>Alliums, Dried Herbs &amp; Spices, Sweeteners</v>
      </c>
      <c r="F230" s="1"/>
      <c r="G230" s="1"/>
      <c r="H230" s="1"/>
      <c r="I230" s="1"/>
      <c r="J230" s="1" t="s">
        <v>64</v>
      </c>
      <c r="K230" s="1"/>
      <c r="L230" s="1" t="s">
        <v>30</v>
      </c>
      <c r="M230" s="1" t="s">
        <v>19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 t="s">
        <v>13</v>
      </c>
      <c r="C231" s="1" t="s">
        <v>13</v>
      </c>
      <c r="D231" s="1" t="s">
        <v>445</v>
      </c>
      <c r="E231" s="1" t="str">
        <f>IFERROR(__xludf.DUMMYFUNCTION("""COMPUTED_VALUE"""),"Beans, Sweeteners")</f>
        <v>Beans, Sweeteners</v>
      </c>
      <c r="F231" s="1"/>
      <c r="G231" s="1"/>
      <c r="H231" s="1"/>
      <c r="I231" s="1" t="s">
        <v>351</v>
      </c>
      <c r="J231" s="1"/>
      <c r="K231" s="1"/>
      <c r="L231" s="1"/>
      <c r="M231" s="1" t="s">
        <v>19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 t="s">
        <v>13</v>
      </c>
      <c r="C232" s="1" t="s">
        <v>13</v>
      </c>
      <c r="D232" s="1" t="s">
        <v>446</v>
      </c>
      <c r="E232" s="1" t="str">
        <f>IFERROR(__xludf.DUMMYFUNCTION("""COMPUTED_VALUE"""),"Gluten-Free Grains, Alliums, Dried Herbs &amp; Spices, Sweeteners")</f>
        <v>Gluten-Free Grains, Alliums, Dried Herbs &amp; Spices, Sweeteners</v>
      </c>
      <c r="F232" s="1"/>
      <c r="G232" s="1"/>
      <c r="H232" s="1" t="s">
        <v>33</v>
      </c>
      <c r="I232" s="1"/>
      <c r="J232" s="1" t="s">
        <v>64</v>
      </c>
      <c r="K232" s="1"/>
      <c r="L232" s="1" t="s">
        <v>30</v>
      </c>
      <c r="M232" s="1" t="s">
        <v>19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 t="s">
        <v>13</v>
      </c>
      <c r="C233" s="1" t="s">
        <v>13</v>
      </c>
      <c r="D233" s="1" t="s">
        <v>447</v>
      </c>
      <c r="E233" s="1" t="str">
        <f>IFERROR(__xludf.DUMMYFUNCTION("""COMPUTED_VALUE"""),"Wheat, Corn, Sweeteners")</f>
        <v>Wheat, Corn, Sweeteners</v>
      </c>
      <c r="F233" s="1"/>
      <c r="G233" s="1"/>
      <c r="H233" s="1" t="s">
        <v>49</v>
      </c>
      <c r="I233" s="1"/>
      <c r="J233" s="1"/>
      <c r="K233" s="1"/>
      <c r="L233" s="1"/>
      <c r="M233" s="1" t="s">
        <v>19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 t="s">
        <v>13</v>
      </c>
      <c r="C234" s="1" t="s">
        <v>13</v>
      </c>
      <c r="D234" s="1" t="s">
        <v>448</v>
      </c>
      <c r="E234" s="1" t="str">
        <f>IFERROR(__xludf.DUMMYFUNCTION("""COMPUTED_VALUE"""),"Gluten-Free Grains")</f>
        <v>Gluten-Free Grains</v>
      </c>
      <c r="F234" s="1"/>
      <c r="G234" s="1"/>
      <c r="H234" s="1" t="s">
        <v>33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 t="s">
        <v>13</v>
      </c>
      <c r="C235" s="1" t="s">
        <v>13</v>
      </c>
      <c r="D235" s="1" t="s">
        <v>449</v>
      </c>
      <c r="E235" s="1" t="str">
        <f>IFERROR(__xludf.DUMMYFUNCTION("""COMPUTED_VALUE"""),"Wheat, Alliums, Dried Herbs &amp; Spices")</f>
        <v>Wheat, Alliums, Dried Herbs &amp; Spices</v>
      </c>
      <c r="F235" s="1"/>
      <c r="G235" s="1"/>
      <c r="H235" s="1" t="s">
        <v>29</v>
      </c>
      <c r="I235" s="1"/>
      <c r="J235" s="1" t="s">
        <v>64</v>
      </c>
      <c r="K235" s="1"/>
      <c r="L235" s="1" t="s">
        <v>30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 t="s">
        <v>13</v>
      </c>
      <c r="C236" s="1" t="s">
        <v>13</v>
      </c>
      <c r="D236" s="1" t="s">
        <v>450</v>
      </c>
      <c r="E236" s="1" t="str">
        <f>IFERROR(__xludf.DUMMYFUNCTION("""COMPUTED_VALUE"""),"Soy, Alliums, Dried Herbs &amp; Spices")</f>
        <v>Soy, Alliums, Dried Herbs &amp; Spices</v>
      </c>
      <c r="F236" s="1"/>
      <c r="G236" s="1"/>
      <c r="H236" s="1"/>
      <c r="I236" s="1" t="s">
        <v>18</v>
      </c>
      <c r="J236" s="1" t="s">
        <v>64</v>
      </c>
      <c r="K236" s="1"/>
      <c r="L236" s="1" t="s">
        <v>30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 t="s">
        <v>13</v>
      </c>
      <c r="C237" s="1" t="s">
        <v>13</v>
      </c>
      <c r="D237" s="1" t="s">
        <v>451</v>
      </c>
      <c r="E237" s="1" t="str">
        <f>IFERROR(__xludf.DUMMYFUNCTION("""COMPUTED_VALUE"""),"Soy")</f>
        <v>Soy</v>
      </c>
      <c r="F237" s="1"/>
      <c r="G237" s="1"/>
      <c r="H237" s="1"/>
      <c r="I237" s="1" t="s">
        <v>18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 t="s">
        <v>13</v>
      </c>
      <c r="C238" s="1" t="s">
        <v>13</v>
      </c>
      <c r="D238" s="1" t="s">
        <v>452</v>
      </c>
      <c r="E238" s="1" t="str">
        <f>IFERROR(__xludf.DUMMYFUNCTION("""COMPUTED_VALUE"""),"Gluten-Free Grains, Sweeteners")</f>
        <v>Gluten-Free Grains, Sweeteners</v>
      </c>
      <c r="F238" s="1"/>
      <c r="G238" s="1"/>
      <c r="H238" s="1" t="s">
        <v>33</v>
      </c>
      <c r="I238" s="1"/>
      <c r="J238" s="1"/>
      <c r="K238" s="1"/>
      <c r="L238" s="1"/>
      <c r="M238" s="1" t="s">
        <v>19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 t="s">
        <v>13</v>
      </c>
      <c r="C239" s="1" t="s">
        <v>13</v>
      </c>
      <c r="D239" s="1" t="s">
        <v>453</v>
      </c>
      <c r="E239" s="1" t="str">
        <f>IFERROR(__xludf.DUMMYFUNCTION("""COMPUTED_VALUE"""),"Berries")</f>
        <v>Berries</v>
      </c>
      <c r="F239" s="1"/>
      <c r="G239" s="1"/>
      <c r="H239" s="1"/>
      <c r="I239" s="1"/>
      <c r="J239" s="1"/>
      <c r="K239" s="1" t="s">
        <v>340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 t="s">
        <v>13</v>
      </c>
      <c r="C240" s="1" t="s">
        <v>13</v>
      </c>
      <c r="D240" s="1" t="s">
        <v>454</v>
      </c>
      <c r="E240" s="1" t="str">
        <f>IFERROR(__xludf.DUMMYFUNCTION("""COMPUTED_VALUE"""),"Soy, Beans, Alliums, Dried Herbs &amp; Spices")</f>
        <v>Soy, Beans, Alliums, Dried Herbs &amp; Spices</v>
      </c>
      <c r="F240" s="1"/>
      <c r="G240" s="1"/>
      <c r="H240" s="1"/>
      <c r="I240" s="1" t="s">
        <v>455</v>
      </c>
      <c r="J240" s="1" t="s">
        <v>64</v>
      </c>
      <c r="K240" s="1"/>
      <c r="L240" s="1" t="s">
        <v>30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 t="s">
        <v>13</v>
      </c>
      <c r="C241" s="1" t="s">
        <v>13</v>
      </c>
      <c r="D241" s="1" t="s">
        <v>456</v>
      </c>
      <c r="E241" s="1" t="str">
        <f>IFERROR(__xludf.DUMMYFUNCTION("""COMPUTED_VALUE"""),"Lactose-Free, Tropical Fruits, Sweeteners")</f>
        <v>Lactose-Free, Tropical Fruits, Sweeteners</v>
      </c>
      <c r="F241" s="1"/>
      <c r="G241" s="1" t="s">
        <v>387</v>
      </c>
      <c r="H241" s="1"/>
      <c r="I241" s="1"/>
      <c r="J241" s="1"/>
      <c r="K241" s="1" t="s">
        <v>336</v>
      </c>
      <c r="L241" s="1"/>
      <c r="M241" s="1" t="s">
        <v>19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 t="s">
        <v>13</v>
      </c>
      <c r="C242" s="1" t="s">
        <v>13</v>
      </c>
      <c r="D242" s="1" t="s">
        <v>457</v>
      </c>
      <c r="E242" s="1" t="str">
        <f>IFERROR(__xludf.DUMMYFUNCTION("""COMPUTED_VALUE"""),"Wheat, Soy, Mushrooms, Alliums, Dried Herbs &amp; Spices")</f>
        <v>Wheat, Soy, Mushrooms, Alliums, Dried Herbs &amp; Spices</v>
      </c>
      <c r="F242" s="1"/>
      <c r="G242" s="1"/>
      <c r="H242" s="1" t="s">
        <v>29</v>
      </c>
      <c r="I242" s="1" t="s">
        <v>18</v>
      </c>
      <c r="J242" s="1" t="s">
        <v>361</v>
      </c>
      <c r="K242" s="1"/>
      <c r="L242" s="1" t="s">
        <v>30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 t="s">
        <v>13</v>
      </c>
      <c r="C243" s="1" t="s">
        <v>13</v>
      </c>
      <c r="D243" s="1" t="s">
        <v>458</v>
      </c>
      <c r="E243" s="1" t="str">
        <f>IFERROR(__xludf.DUMMYFUNCTION("""COMPUTED_VALUE"""),"Citrus, Alcohol, Sweeteners")</f>
        <v>Citrus, Alcohol, Sweeteners</v>
      </c>
      <c r="F243" s="1"/>
      <c r="G243" s="1"/>
      <c r="H243" s="1"/>
      <c r="I243" s="1"/>
      <c r="J243" s="1"/>
      <c r="K243" s="1" t="s">
        <v>65</v>
      </c>
      <c r="L243" s="1"/>
      <c r="M243" s="1" t="s">
        <v>296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 t="s">
        <v>13</v>
      </c>
      <c r="C244" s="1" t="s">
        <v>13</v>
      </c>
      <c r="D244" s="1" t="s">
        <v>459</v>
      </c>
      <c r="E244" s="1" t="str">
        <f>IFERROR(__xludf.DUMMYFUNCTION("""COMPUTED_VALUE"""),"Sweeteners, Caffeine")</f>
        <v>Sweeteners, Caffeine</v>
      </c>
      <c r="F244" s="1"/>
      <c r="G244" s="1"/>
      <c r="H244" s="1"/>
      <c r="I244" s="1"/>
      <c r="J244" s="1"/>
      <c r="K244" s="1"/>
      <c r="L244" s="1"/>
      <c r="M244" s="1" t="s">
        <v>337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 t="s">
        <v>13</v>
      </c>
      <c r="C245" s="1" t="s">
        <v>13</v>
      </c>
      <c r="D245" s="1" t="s">
        <v>460</v>
      </c>
      <c r="E245" s="1" t="str">
        <f>IFERROR(__xludf.DUMMYFUNCTION("""COMPUTED_VALUE"""),"Citrus, Sweeteners, Caffeine")</f>
        <v>Citrus, Sweeteners, Caffeine</v>
      </c>
      <c r="F245" s="1"/>
      <c r="G245" s="1"/>
      <c r="H245" s="1"/>
      <c r="I245" s="1"/>
      <c r="J245" s="1"/>
      <c r="K245" s="1" t="s">
        <v>65</v>
      </c>
      <c r="L245" s="1"/>
      <c r="M245" s="1" t="s">
        <v>337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 t="s">
        <v>13</v>
      </c>
      <c r="C246" s="1" t="s">
        <v>13</v>
      </c>
      <c r="D246" s="1" t="s">
        <v>461</v>
      </c>
      <c r="E246" s="1" t="str">
        <f>IFERROR(__xludf.DUMMYFUNCTION("""COMPUTED_VALUE"""),"Gluten-Free Grains, Sweeteners")</f>
        <v>Gluten-Free Grains, Sweeteners</v>
      </c>
      <c r="F246" s="1"/>
      <c r="G246" s="1"/>
      <c r="H246" s="1" t="s">
        <v>33</v>
      </c>
      <c r="I246" s="1"/>
      <c r="J246" s="1"/>
      <c r="K246" s="1"/>
      <c r="L246" s="1"/>
      <c r="M246" s="1" t="s">
        <v>19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 t="s">
        <v>13</v>
      </c>
      <c r="C247" s="1" t="s">
        <v>13</v>
      </c>
      <c r="D247" s="1" t="s">
        <v>462</v>
      </c>
      <c r="E247" s="1" t="str">
        <f>IFERROR(__xludf.DUMMYFUNCTION("""COMPUTED_VALUE"""),"Non-Dairy Milk, Tree Nuts, Alliums, Dried Herbs &amp; Spices")</f>
        <v>Non-Dairy Milk, Tree Nuts, Alliums, Dried Herbs &amp; Spices</v>
      </c>
      <c r="F247" s="1"/>
      <c r="G247" s="1" t="s">
        <v>328</v>
      </c>
      <c r="H247" s="1"/>
      <c r="I247" s="1" t="s">
        <v>85</v>
      </c>
      <c r="J247" s="1" t="s">
        <v>64</v>
      </c>
      <c r="K247" s="1"/>
      <c r="L247" s="1" t="s">
        <v>30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 t="s">
        <v>13</v>
      </c>
      <c r="C248" s="1" t="s">
        <v>13</v>
      </c>
      <c r="D248" s="1" t="s">
        <v>463</v>
      </c>
      <c r="E248" s="1" t="str">
        <f>IFERROR(__xludf.DUMMYFUNCTION("""COMPUTED_VALUE"""),"Non-Dairy Cheese, Spicy")</f>
        <v>Non-Dairy Cheese, Spicy</v>
      </c>
      <c r="F248" s="1"/>
      <c r="G248" s="1" t="s">
        <v>356</v>
      </c>
      <c r="H248" s="1"/>
      <c r="I248" s="1"/>
      <c r="J248" s="1"/>
      <c r="K248" s="1"/>
      <c r="L248" s="1" t="s">
        <v>206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 t="s">
        <v>13</v>
      </c>
      <c r="C249" s="1" t="s">
        <v>13</v>
      </c>
      <c r="D249" s="1" t="s">
        <v>464</v>
      </c>
      <c r="E249" s="1" t="str">
        <f>IFERROR(__xludf.DUMMYFUNCTION("""COMPUTED_VALUE"""),"Soy, Nightshades, Alliums, Dried Herbs &amp; Spices, Spicy")</f>
        <v>Soy, Nightshades, Alliums, Dried Herbs &amp; Spices, Spicy</v>
      </c>
      <c r="F249" s="1"/>
      <c r="G249" s="1"/>
      <c r="H249" s="1"/>
      <c r="I249" s="1" t="s">
        <v>18</v>
      </c>
      <c r="J249" s="1" t="s">
        <v>230</v>
      </c>
      <c r="K249" s="1"/>
      <c r="L249" s="1" t="s">
        <v>465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 t="s">
        <v>13</v>
      </c>
      <c r="C250" s="1" t="s">
        <v>13</v>
      </c>
      <c r="D250" s="1" t="s">
        <v>466</v>
      </c>
      <c r="E250" s="1" t="str">
        <f>IFERROR(__xludf.DUMMYFUNCTION("""COMPUTED_VALUE"""),"Wheat, Soy, Alliums, Dried Herbs &amp; Spices")</f>
        <v>Wheat, Soy, Alliums, Dried Herbs &amp; Spices</v>
      </c>
      <c r="F250" s="1"/>
      <c r="G250" s="1"/>
      <c r="H250" s="1" t="s">
        <v>29</v>
      </c>
      <c r="I250" s="1" t="s">
        <v>18</v>
      </c>
      <c r="J250" s="1" t="s">
        <v>64</v>
      </c>
      <c r="K250" s="1"/>
      <c r="L250" s="1" t="s">
        <v>30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 t="s">
        <v>13</v>
      </c>
      <c r="C251" s="1" t="s">
        <v>13</v>
      </c>
      <c r="D251" s="1" t="s">
        <v>467</v>
      </c>
      <c r="E251" s="1" t="str">
        <f>IFERROR(__xludf.DUMMYFUNCTION("""COMPUTED_VALUE"""),"Tropical Fruits")</f>
        <v>Tropical Fruits</v>
      </c>
      <c r="F251" s="1"/>
      <c r="G251" s="1"/>
      <c r="H251" s="1"/>
      <c r="I251" s="1"/>
      <c r="J251" s="1"/>
      <c r="K251" s="1" t="s">
        <v>336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 t="s">
        <v>13</v>
      </c>
      <c r="C252" s="1" t="s">
        <v>13</v>
      </c>
      <c r="D252" s="1" t="s">
        <v>468</v>
      </c>
      <c r="E252" s="1" t="str">
        <f>IFERROR(__xludf.DUMMYFUNCTION("""COMPUTED_VALUE"""),"Soy, Beans, Alliums, Dried Herbs &amp; Spices")</f>
        <v>Soy, Beans, Alliums, Dried Herbs &amp; Spices</v>
      </c>
      <c r="F252" s="1"/>
      <c r="G252" s="1"/>
      <c r="H252" s="1"/>
      <c r="I252" s="1" t="s">
        <v>455</v>
      </c>
      <c r="J252" s="1" t="s">
        <v>64</v>
      </c>
      <c r="K252" s="1"/>
      <c r="L252" s="1" t="s">
        <v>30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 t="s">
        <v>13</v>
      </c>
      <c r="C253" s="1" t="s">
        <v>13</v>
      </c>
      <c r="D253" s="1" t="s">
        <v>469</v>
      </c>
      <c r="E253" s="1" t="str">
        <f>IFERROR(__xludf.DUMMYFUNCTION("""COMPUTED_VALUE"""),"Gluten-Free Grains")</f>
        <v>Gluten-Free Grains</v>
      </c>
      <c r="F253" s="1"/>
      <c r="G253" s="1"/>
      <c r="H253" s="1" t="s">
        <v>33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 t="s">
        <v>13</v>
      </c>
      <c r="C254" s="1" t="s">
        <v>13</v>
      </c>
      <c r="D254" s="1" t="s">
        <v>470</v>
      </c>
      <c r="E254" s="1" t="str">
        <f>IFERROR(__xludf.DUMMYFUNCTION("""COMPUTED_VALUE"""),"Turkey, Alliums, Dried Herbs &amp; Spices")</f>
        <v>Turkey, Alliums, Dried Herbs &amp; Spices</v>
      </c>
      <c r="F254" s="1" t="s">
        <v>471</v>
      </c>
      <c r="G254" s="1"/>
      <c r="H254" s="1"/>
      <c r="I254" s="1"/>
      <c r="J254" s="1" t="s">
        <v>64</v>
      </c>
      <c r="K254" s="1"/>
      <c r="L254" s="1" t="s">
        <v>30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 t="s">
        <v>13</v>
      </c>
      <c r="C255" s="1" t="s">
        <v>13</v>
      </c>
      <c r="D255" s="1" t="s">
        <v>472</v>
      </c>
      <c r="E255" s="1" t="str">
        <f>IFERROR(__xludf.DUMMYFUNCTION("""COMPUTED_VALUE"""),"Non-Dairy Milk")</f>
        <v>Non-Dairy Milk</v>
      </c>
      <c r="F255" s="1"/>
      <c r="G255" s="1" t="s">
        <v>328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 t="s">
        <v>13</v>
      </c>
      <c r="C256" s="1" t="s">
        <v>13</v>
      </c>
      <c r="D256" s="1" t="s">
        <v>473</v>
      </c>
      <c r="E256" s="1" t="str">
        <f>IFERROR(__xludf.DUMMYFUNCTION("""COMPUTED_VALUE"""),"Gluten-Free Grains, Wheat, Sweeteners")</f>
        <v>Gluten-Free Grains, Wheat, Sweeteners</v>
      </c>
      <c r="F256" s="1"/>
      <c r="G256" s="1"/>
      <c r="H256" s="1" t="s">
        <v>22</v>
      </c>
      <c r="I256" s="1"/>
      <c r="J256" s="1"/>
      <c r="K256" s="1"/>
      <c r="L256" s="1"/>
      <c r="M256" s="1" t="s">
        <v>19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 t="s">
        <v>13</v>
      </c>
      <c r="C257" s="1" t="s">
        <v>13</v>
      </c>
      <c r="D257" s="1" t="s">
        <v>474</v>
      </c>
      <c r="E257" s="1" t="str">
        <f>IFERROR(__xludf.DUMMYFUNCTION("""COMPUTED_VALUE"""),"Mushrooms")</f>
        <v>Mushrooms</v>
      </c>
      <c r="F257" s="1"/>
      <c r="G257" s="1"/>
      <c r="H257" s="1"/>
      <c r="I257" s="1"/>
      <c r="J257" s="1" t="s">
        <v>333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 t="s">
        <v>13</v>
      </c>
      <c r="C258" s="1" t="s">
        <v>13</v>
      </c>
      <c r="D258" s="1" t="s">
        <v>475</v>
      </c>
      <c r="E258" s="1" t="str">
        <f>IFERROR(__xludf.DUMMYFUNCTION("""COMPUTED_VALUE"""),"Gluten-Free Grains, Tree Nuts")</f>
        <v>Gluten-Free Grains, Tree Nuts</v>
      </c>
      <c r="F258" s="1"/>
      <c r="G258" s="1"/>
      <c r="H258" s="1" t="s">
        <v>33</v>
      </c>
      <c r="I258" s="1" t="s">
        <v>85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 t="s">
        <v>13</v>
      </c>
      <c r="C259" s="1" t="s">
        <v>13</v>
      </c>
      <c r="D259" s="1" t="s">
        <v>476</v>
      </c>
      <c r="E259" s="1" t="str">
        <f>IFERROR(__xludf.DUMMYFUNCTION("""COMPUTED_VALUE"""),"Others")</f>
        <v>Others</v>
      </c>
      <c r="F259" s="1"/>
      <c r="G259" s="1"/>
      <c r="H259" s="1"/>
      <c r="I259" s="1"/>
      <c r="J259" s="1"/>
      <c r="K259" s="1"/>
      <c r="L259" s="1"/>
      <c r="M259" s="1"/>
      <c r="N259" s="1" t="s">
        <v>11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 t="s">
        <v>13</v>
      </c>
      <c r="C260" s="1" t="s">
        <v>13</v>
      </c>
      <c r="D260" s="1" t="s">
        <v>477</v>
      </c>
      <c r="E260" s="1" t="str">
        <f>IFERROR(__xludf.DUMMYFUNCTION("""COMPUTED_VALUE"""),"Corn, Gluten-Free Grains")</f>
        <v>Corn, Gluten-Free Grains</v>
      </c>
      <c r="F260" s="1"/>
      <c r="G260" s="1"/>
      <c r="H260" s="1" t="s">
        <v>199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 t="s">
        <v>13</v>
      </c>
      <c r="C261" s="1" t="s">
        <v>13</v>
      </c>
      <c r="D261" s="1" t="s">
        <v>478</v>
      </c>
      <c r="E261" s="1" t="str">
        <f>IFERROR(__xludf.DUMMYFUNCTION("""COMPUTED_VALUE"""),"Wheat, Soy, Alliums, Dried Herbs &amp; Spices")</f>
        <v>Wheat, Soy, Alliums, Dried Herbs &amp; Spices</v>
      </c>
      <c r="F261" s="1"/>
      <c r="G261" s="1"/>
      <c r="H261" s="1" t="s">
        <v>29</v>
      </c>
      <c r="I261" s="1" t="s">
        <v>18</v>
      </c>
      <c r="J261" s="1" t="s">
        <v>64</v>
      </c>
      <c r="K261" s="1"/>
      <c r="L261" s="1" t="s">
        <v>30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 t="s">
        <v>13</v>
      </c>
      <c r="C262" s="1" t="s">
        <v>13</v>
      </c>
      <c r="D262" s="1" t="s">
        <v>479</v>
      </c>
      <c r="E262" s="1" t="str">
        <f>IFERROR(__xludf.DUMMYFUNCTION("""COMPUTED_VALUE"""),"Non-Dairy Cheese")</f>
        <v>Non-Dairy Cheese</v>
      </c>
      <c r="F262" s="1"/>
      <c r="G262" s="1" t="s">
        <v>356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 t="s">
        <v>13</v>
      </c>
      <c r="C263" s="1" t="s">
        <v>13</v>
      </c>
      <c r="D263" s="1" t="s">
        <v>480</v>
      </c>
      <c r="E263" s="1" t="str">
        <f>IFERROR(__xludf.DUMMYFUNCTION("""COMPUTED_VALUE"""),"Others")</f>
        <v>Others</v>
      </c>
      <c r="F263" s="1"/>
      <c r="G263" s="1"/>
      <c r="H263" s="1"/>
      <c r="I263" s="1"/>
      <c r="J263" s="1"/>
      <c r="K263" s="1"/>
      <c r="L263" s="1"/>
      <c r="M263" s="1"/>
      <c r="N263" s="1" t="s">
        <v>11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 t="s">
        <v>13</v>
      </c>
      <c r="C264" s="1" t="s">
        <v>13</v>
      </c>
      <c r="D264" s="1" t="s">
        <v>481</v>
      </c>
      <c r="E264" s="1" t="str">
        <f>IFERROR(__xludf.DUMMYFUNCTION("""COMPUTED_VALUE"""),"Alliums, Berries, Citrus, Dried Herbs &amp; Spices, Sweeteners")</f>
        <v>Alliums, Berries, Citrus, Dried Herbs &amp; Spices, Sweeteners</v>
      </c>
      <c r="F264" s="1"/>
      <c r="G264" s="1"/>
      <c r="H264" s="1"/>
      <c r="I264" s="1"/>
      <c r="J264" s="1" t="s">
        <v>64</v>
      </c>
      <c r="K264" s="1" t="s">
        <v>482</v>
      </c>
      <c r="L264" s="1" t="s">
        <v>30</v>
      </c>
      <c r="M264" s="1" t="s">
        <v>19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 t="s">
        <v>13</v>
      </c>
      <c r="C265" s="1" t="s">
        <v>13</v>
      </c>
      <c r="D265" s="1" t="s">
        <v>483</v>
      </c>
      <c r="E265" s="1" t="str">
        <f>IFERROR(__xludf.DUMMYFUNCTION("""COMPUTED_VALUE"""),"Gluten-Free Grains, Tree Nuts")</f>
        <v>Gluten-Free Grains, Tree Nuts</v>
      </c>
      <c r="F265" s="1"/>
      <c r="G265" s="1"/>
      <c r="H265" s="1" t="s">
        <v>33</v>
      </c>
      <c r="I265" s="1" t="s">
        <v>85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 t="s">
        <v>13</v>
      </c>
      <c r="C266" s="1" t="s">
        <v>13</v>
      </c>
      <c r="D266" s="1" t="s">
        <v>484</v>
      </c>
      <c r="E266" s="1" t="str">
        <f>IFERROR(__xludf.DUMMYFUNCTION("""COMPUTED_VALUE"""),"Lactose-Free, Non-Dairy Cheese, Soy, Alliums, Dried Herbs &amp; Spices")</f>
        <v>Lactose-Free, Non-Dairy Cheese, Soy, Alliums, Dried Herbs &amp; Spices</v>
      </c>
      <c r="F266" s="1"/>
      <c r="G266" s="1" t="s">
        <v>485</v>
      </c>
      <c r="H266" s="1"/>
      <c r="I266" s="1" t="s">
        <v>18</v>
      </c>
      <c r="J266" s="1" t="s">
        <v>64</v>
      </c>
      <c r="K266" s="1"/>
      <c r="L266" s="1" t="s">
        <v>30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Z$1000"/>
  <drawing r:id="rId1"/>
</worksheet>
</file>